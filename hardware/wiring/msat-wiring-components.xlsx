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wiring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librari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8"/>
      <scheme val="minor"/>
    </font>
    <font>
      <name val="Arial"/>
      <family val="2"/>
      <b val="1"/>
      <color rgb="FFFFFFFF"/>
      <sz val="11"/>
      <scheme val="minor"/>
    </font>
    <font>
      <name val="Arial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3" applyAlignment="1" pivotButton="0" quotePrefix="0" xfId="0">
      <alignment vertical="center"/>
    </xf>
    <xf numFmtId="0" fontId="2" fillId="0" borderId="6" pivotButton="0" quotePrefix="0" xfId="0"/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7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5" borderId="4" applyAlignment="1" pivotButton="0" quotePrefix="0" xfId="0">
      <alignment horizontal="center"/>
    </xf>
    <xf numFmtId="0" fontId="5" fillId="5" borderId="5" applyAlignment="1" pivotButton="0" quotePrefix="0" xfId="0">
      <alignment horizontal="center"/>
    </xf>
    <xf numFmtId="0" fontId="5" fillId="5" borderId="8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164" fontId="2" fillId="0" borderId="3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6" borderId="9" applyAlignment="1" pivotButton="0" quotePrefix="0" xfId="0">
      <alignment horizontal="center"/>
    </xf>
    <xf numFmtId="0" fontId="3" fillId="6" borderId="9" applyAlignment="1" pivotButton="0" quotePrefix="0" xfId="0">
      <alignment horizontal="left"/>
    </xf>
    <xf numFmtId="0" fontId="3" fillId="6" borderId="9" applyAlignment="1" pivotButton="0" quotePrefix="0" xfId="0">
      <alignment horizontal="right"/>
    </xf>
    <xf numFmtId="164" fontId="3" fillId="6" borderId="7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</cellXfs>
  <cellStyles count="1">
    <cellStyle name="Normal" xfId="0" builtinId="0"/>
  </cellStyles>
  <dxfs count="28"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4472C4"/>
        </patternFill>
      </fill>
      <alignment horizontal="center" vertical="bottom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164" formatCode="&quot;$&quot;#,##0.00"/>
      <alignment horizontal="center" vertical="bottom"/>
      <border>
        <left style="thin">
          <color auto="1"/>
        </left>
        <right/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bottom"/>
      <border>
        <left/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general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11"/>
        <vertAlign val="baseline"/>
        <scheme val="minor"/>
      </font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3" displayName="Table3" ref="A1:E63" headerRowCount="1" totalsRowShown="0" headerRowDxfId="27" dataDxfId="26">
  <autoFilter ref="A1:E63"/>
  <tableColumns count="5">
    <tableColumn id="1" name="Category" dataDxfId="25"/>
    <tableColumn id="2" name="Component" dataDxfId="24"/>
    <tableColumn id="3" name="Library" dataDxfId="23"/>
    <tableColumn id="4" name="Wiring / Connections" dataDxfId="22"/>
    <tableColumn id="5" name="Note" dataDxfId="21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I31" headerRowCount="1">
  <autoFilter ref="A1:I31"/>
  <tableColumns count="9">
    <tableColumn id="1" name="Item No."/>
    <tableColumn id="2" name="Product Code"/>
    <tableColumn id="3" name="Category"/>
    <tableColumn id="4" name="Description"/>
    <tableColumn id="5" name="Country of Origin"/>
    <tableColumn id="6" name="Qty"/>
    <tableColumn id="7" name="Unit Cost (THB)"/>
    <tableColumn id="8" name="Unit Cost (USD)"/>
    <tableColumn id="9" name="Cost (USD)"/>
  </tableColumns>
  <tableStyleInfo name="TableStyleMedium2" showRowStripes="1"/>
</table>
</file>

<file path=xl/tables/table3.xml><?xml version="1.0" encoding="utf-8"?>
<table xmlns="http://schemas.openxmlformats.org/spreadsheetml/2006/main" id="3" name="Table2" displayName="Table2" ref="A1:C12" headerRowCount="1" totalsRowShown="0" headerRowDxfId="20" dataDxfId="18" headerRowBorderDxfId="19" tableBorderDxfId="17" totalsRowBorderDxfId="16">
  <autoFilter ref="A1:C12"/>
  <tableColumns count="3">
    <tableColumn id="1" name="Library" dataDxfId="15"/>
    <tableColumn id="2" name="Author" dataDxfId="14"/>
    <tableColumn id="3" name="Usage / Purpose" dataDxfId="1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73"/>
  <sheetViews>
    <sheetView topLeftCell="B1" zoomScale="80" zoomScaleNormal="80" workbookViewId="0">
      <selection activeCell="D91" sqref="D91"/>
    </sheetView>
  </sheetViews>
  <sheetFormatPr baseColWidth="8" defaultColWidth="12.6328125" defaultRowHeight="14"/>
  <cols>
    <col width="25.453125" customWidth="1" style="1" min="1" max="1"/>
    <col width="23.81640625" bestFit="1" customWidth="1" style="1" min="2" max="2"/>
    <col width="19.81640625" bestFit="1" customWidth="1" style="1" min="3" max="3"/>
    <col width="86" bestFit="1" customWidth="1" style="1" min="4" max="4"/>
    <col width="33.36328125" bestFit="1" customWidth="1" style="1" min="5" max="5"/>
    <col width="12.6328125" customWidth="1" style="1" min="6" max="16384"/>
  </cols>
  <sheetData>
    <row r="1">
      <c r="A1" s="10" t="inlineStr">
        <is>
          <t>Category</t>
        </is>
      </c>
      <c r="B1" s="10" t="inlineStr">
        <is>
          <t>Component</t>
        </is>
      </c>
      <c r="C1" s="10" t="inlineStr">
        <is>
          <t>Library</t>
        </is>
      </c>
      <c r="D1" s="10" t="inlineStr">
        <is>
          <t>Wiring / Connections</t>
        </is>
      </c>
      <c r="E1" s="10" t="inlineStr">
        <is>
          <t>Note</t>
        </is>
      </c>
    </row>
    <row r="2">
      <c r="A2" s="1" t="inlineStr">
        <is>
          <t>1. Power System</t>
        </is>
      </c>
      <c r="B2" s="1" t="inlineStr">
        <is>
          <t>12 V / 5 A (60 W) switching power supply</t>
        </is>
      </c>
      <c r="C2" s="1" t="inlineStr">
        <is>
          <t>-</t>
        </is>
      </c>
      <c r="D2" s="1" t="inlineStr">
        <is>
          <t>• V+ (12V) ➡️ LM2596 #1 (IN+), LM2596 #2 (IN+), MI-Water-EC485 EC transmitter (Red)</t>
        </is>
      </c>
      <c r="E2" s="1" t="inlineStr">
        <is>
          <t>Main power source split 3 ways</t>
        </is>
      </c>
    </row>
    <row r="3">
      <c r="D3" s="1" t="inlineStr">
        <is>
          <t>• V- (GND) ➡️ LM2596 #1 (IN-), LM2596 #2 (IN-), MI-Water-EC485 EC transmitter (Black), COMMON GROUND</t>
        </is>
      </c>
    </row>
    <row r="4">
      <c r="B4" s="1" t="inlineStr">
        <is>
          <t>LM2596 #1 (System 5V)</t>
        </is>
      </c>
      <c r="C4" s="1" t="inlineStr">
        <is>
          <t>-</t>
        </is>
      </c>
      <c r="D4" s="1" t="inlineStr">
        <is>
          <t>• IN+ ⬅️ 12V PSU (V+)</t>
        </is>
      </c>
      <c r="E4" s="1" t="inlineStr">
        <is>
          <t>Step-down 12V to 5V for Board</t>
        </is>
      </c>
    </row>
    <row r="5">
      <c r="D5" s="1" t="inlineStr">
        <is>
          <t>• IN- ⬅️ 12V PSU (V-)</t>
        </is>
      </c>
    </row>
    <row r="6">
      <c r="D6" s="1" t="inlineStr">
        <is>
          <t>• OUT+ ➡️ 5V BUS (Powers ESP32, Relay Module, HX711, ADS1115, pH board, MAX485, SD, LCD)</t>
        </is>
      </c>
      <c r="E6" s="1" t="inlineStr">
        <is>
          <t>**DO NOT ADJUST (Lock at 5V)**</t>
        </is>
      </c>
    </row>
    <row r="7">
      <c r="D7" s="1" t="inlineStr">
        <is>
          <t>• OUT- ➡️ COMMON GROUND</t>
        </is>
      </c>
    </row>
    <row r="8">
      <c r="B8" s="1" t="inlineStr">
        <is>
          <t>LM2596 #2 (Pump Flow)</t>
        </is>
      </c>
      <c r="C8" s="1" t="inlineStr">
        <is>
          <t>-</t>
        </is>
      </c>
      <c r="D8" s="1" t="inlineStr">
        <is>
          <t>• IN+ ⬅️ 12V PSU (V+)</t>
        </is>
      </c>
      <c r="E8" s="1" t="inlineStr">
        <is>
          <t>**For Pump Speed Control (7.5V)**</t>
        </is>
      </c>
    </row>
    <row r="9">
      <c r="D9" s="1" t="inlineStr">
        <is>
          <t>• IN- ⬅️ 12V PSU (V-)</t>
        </is>
      </c>
    </row>
    <row r="10">
      <c r="D10" s="1" t="inlineStr">
        <is>
          <t>• OUT+ ➡️ Relay Module (COM Pin)</t>
        </is>
      </c>
      <c r="E10" s="1" t="inlineStr">
        <is>
          <t>Adjust voltage to change Flow Rate</t>
        </is>
      </c>
    </row>
    <row r="11">
      <c r="D11" s="1" t="inlineStr">
        <is>
          <t>• OUT- ➡️ COMMON GROUND (or Pump Negative)</t>
        </is>
      </c>
    </row>
    <row r="12">
      <c r="A12" s="1" t="inlineStr">
        <is>
          <t>2. Processing</t>
        </is>
      </c>
      <c r="B12" s="1" t="inlineStr">
        <is>
          <t>ESP32 (Dev Kit)</t>
        </is>
      </c>
      <c r="C12" s="1" t="inlineStr">
        <is>
          <t>-</t>
        </is>
      </c>
      <c r="D12" s="1" t="inlineStr">
        <is>
          <t>• VIN ⬅️ 5V BUS</t>
        </is>
      </c>
    </row>
    <row r="13">
      <c r="D13" s="1" t="inlineStr">
        <is>
          <t>• GND ⬅️ COMMON GROUND</t>
        </is>
      </c>
    </row>
    <row r="14" ht="13" customHeight="1">
      <c r="D14" s="1" t="inlineStr">
        <is>
          <t>• 3.3V ➡️ 3.3V BUS (Powers RTC, Color, Temp)</t>
        </is>
      </c>
    </row>
    <row r="15">
      <c r="D15" s="1" t="inlineStr">
        <is>
          <t>• GPIO 32/33 ➡️ I2C Bus (ADS1115 via level converter, TCS34725, DS3231, LCD)</t>
        </is>
      </c>
    </row>
    <row r="16">
      <c r="D16" s="1" t="inlineStr">
        <is>
          <t>• GPIO 18/19/23/5 ➡️ SD Card (SPI)</t>
        </is>
      </c>
    </row>
    <row r="17">
      <c r="D17" s="1" t="inlineStr">
        <is>
          <t>• GPIO 16/17/2 ➡️ RS485</t>
        </is>
      </c>
    </row>
    <row r="18">
      <c r="D18" s="1" t="inlineStr">
        <is>
          <t>• GPIO 13 ➡️ Relay (Trigger)</t>
        </is>
      </c>
    </row>
    <row r="19">
      <c r="D19" s="1" t="inlineStr">
        <is>
          <t>• GPIO 27/14/15 ➡️ Buttons</t>
        </is>
      </c>
    </row>
    <row r="20">
      <c r="D20" s="1" t="inlineStr">
        <is>
          <t>• GPIO 25/26 ➡️ Load Cell</t>
        </is>
      </c>
    </row>
    <row r="21">
      <c r="D21" s="1" t="inlineStr">
        <is>
          <t>• GPIO 4 ➡️ Temp Sensor</t>
        </is>
      </c>
    </row>
    <row r="22">
      <c r="A22" s="1" t="inlineStr">
        <is>
          <t>3. Interface</t>
        </is>
      </c>
      <c r="B22" s="13" t="inlineStr">
        <is>
          <t>LLC-4CH-I2C (bidirectional logic-level converter, 5 V / 3.3 V)</t>
        </is>
      </c>
      <c r="C22" s="1" t="inlineStr">
        <is>
          <t>-</t>
        </is>
      </c>
      <c r="D22" s="1" t="inlineStr">
        <is>
          <t>[LV Side - 3.3V]</t>
        </is>
      </c>
      <c r="E22" s="1" t="inlineStr">
        <is>
          <t>I2C Level Shifting for ADS1115</t>
        </is>
      </c>
    </row>
    <row r="23">
      <c r="D23" s="1" t="inlineStr">
        <is>
          <t>• LV ⬅️ 3.3V BUS | GND ⬅️ GND</t>
        </is>
      </c>
    </row>
    <row r="24">
      <c r="D24" s="1" t="inlineStr">
        <is>
          <t>• LV1 ⬅️ ESP32 (D33 SCL) | LV2 ⬅️ ESP32 (D32 SDA)</t>
        </is>
      </c>
    </row>
    <row r="25">
      <c r="D25" s="1" t="inlineStr">
        <is>
          <t>[HV Side - 5V]</t>
        </is>
      </c>
    </row>
    <row r="26">
      <c r="D26" s="1" t="inlineStr">
        <is>
          <t>• HV ⬅️ 5V BUS | GND ⬅️ GND</t>
        </is>
      </c>
    </row>
    <row r="27">
      <c r="D27" s="1" t="inlineStr">
        <is>
          <t>• HV1 ➡️ ADS1115 (SCL) | HV2 ➡️ ADS1115 (SDA)</t>
        </is>
      </c>
    </row>
    <row r="28">
      <c r="B28" s="1" t="inlineStr">
        <is>
          <t>MAX485 (RS485)</t>
        </is>
      </c>
      <c r="C28" s="1" t="inlineStr">
        <is>
          <t>ModbusMaster</t>
        </is>
      </c>
      <c r="D28" s="1" t="inlineStr">
        <is>
          <t>• VCC ⬅️ 5V BUS</t>
        </is>
      </c>
      <c r="E28" s="1" t="inlineStr">
        <is>
          <t>Signal Converter for EC</t>
        </is>
      </c>
    </row>
    <row r="29">
      <c r="D29" s="1" t="inlineStr">
        <is>
          <t>• GND ⬅️ GND</t>
        </is>
      </c>
    </row>
    <row r="30">
      <c r="D30" s="1" t="inlineStr">
        <is>
          <t>• DI ⬅️ ESP32 (D17 TX2)</t>
        </is>
      </c>
    </row>
    <row r="31">
      <c r="D31" s="1" t="inlineStr">
        <is>
          <t>• RO ➡️ ESP32 (D16 RX2)</t>
        </is>
      </c>
    </row>
    <row r="32">
      <c r="D32" s="1" t="inlineStr">
        <is>
          <t>• DE/RE ⬅️ ESP32 (D2)</t>
        </is>
      </c>
    </row>
    <row r="33">
      <c r="D33" s="12" t="inlineStr">
        <is>
          <t>• A, B ➡️ MI-Water-EC485 EC transmitter (Yellow/Blue wires)</t>
        </is>
      </c>
    </row>
    <row r="34">
      <c r="A34" s="1" t="inlineStr">
        <is>
          <t>4. Data/Time</t>
        </is>
      </c>
      <c r="B34" s="1" t="inlineStr">
        <is>
          <t>Micro SD Card Module</t>
        </is>
      </c>
      <c r="C34" s="1" t="inlineStr">
        <is>
          <t>SPI, SD</t>
        </is>
      </c>
      <c r="D34" s="1" t="inlineStr">
        <is>
          <t>• VCC ⬅️ 5V BUS</t>
        </is>
      </c>
      <c r="E34" s="1" t="inlineStr">
        <is>
          <t>Data Logging</t>
        </is>
      </c>
    </row>
    <row r="35">
      <c r="D35" s="1" t="inlineStr">
        <is>
          <t>• GND ⬅️ GND</t>
        </is>
      </c>
    </row>
    <row r="36">
      <c r="D36" s="1" t="inlineStr">
        <is>
          <t>• CS ⬅️ GPIO 5</t>
        </is>
      </c>
    </row>
    <row r="37">
      <c r="D37" s="1" t="inlineStr">
        <is>
          <t>• SCK ⬅️ GPIO 18</t>
        </is>
      </c>
    </row>
    <row r="38">
      <c r="D38" s="1" t="inlineStr">
        <is>
          <t>• MISO ⬅️ GPIO 19</t>
        </is>
      </c>
    </row>
    <row r="39">
      <c r="B39" s="11" t="n"/>
      <c r="C39" s="11" t="n"/>
      <c r="D39" s="1" t="inlineStr">
        <is>
          <t>• MOSI ⬅️ GPIO 23</t>
        </is>
      </c>
    </row>
    <row r="40">
      <c r="B40" s="1" t="inlineStr">
        <is>
          <t>DS3231 (RTC)</t>
        </is>
      </c>
      <c r="C40" s="1" t="inlineStr">
        <is>
          <t>RTClib</t>
        </is>
      </c>
      <c r="D40" s="1" t="inlineStr">
        <is>
          <t>• VCC ⬅️ 3.3V BUS, GND ⬅️ GND</t>
        </is>
      </c>
      <c r="E40" s="1" t="inlineStr">
        <is>
          <t>Real Time Clock</t>
        </is>
      </c>
    </row>
    <row r="41">
      <c r="D41" s="1" t="inlineStr">
        <is>
          <t>• SDA ⬅️ GPIO 32, SCL ⬅️ GPIO 33</t>
        </is>
      </c>
    </row>
    <row r="42">
      <c r="A42" s="1" t="n"/>
      <c r="B42" s="13" t="inlineStr">
        <is>
          <t>LCD 1602 + PCF8574 (I2C display)</t>
        </is>
      </c>
      <c r="C42" s="1" t="inlineStr">
        <is>
          <t>LiquidCrystal_I2C</t>
        </is>
      </c>
      <c r="D42" s="1" t="inlineStr">
        <is>
          <t>• VCC ⬅️ 5V BUS, GND ⬅️ GND</t>
        </is>
      </c>
      <c r="E42" s="1" t="inlineStr">
        <is>
          <t>Local status display (I2C 0x27)</t>
        </is>
      </c>
    </row>
    <row r="43">
      <c r="D43" s="1" t="inlineStr">
        <is>
          <t>• SDA ⬅️ GPIO 32, SCL ⬅️ GPIO 33 (direct, not through the level converter)</t>
        </is>
      </c>
      <c r="E43" t="inlineStr">
        <is>
          <t>As built. For a new build, use the converter HV side or remove the backpack pull-ups</t>
        </is>
      </c>
    </row>
    <row r="44">
      <c r="A44" t="inlineStr">
        <is>
          <t>5. Sensors</t>
        </is>
      </c>
      <c r="B44" t="inlineStr">
        <is>
          <t>ADS1115 (ADC for pH)</t>
        </is>
      </c>
      <c r="C44" t="inlineStr">
        <is>
          <t>Adafruit ADS1X15</t>
        </is>
      </c>
      <c r="D44" s="1" t="inlineStr">
        <is>
          <t>• VDD ⬅️ 5V BUS, GND ⬅️ GND</t>
        </is>
      </c>
      <c r="E44" t="inlineStr">
        <is>
          <t>High Precision Analog Read</t>
        </is>
      </c>
    </row>
    <row r="45">
      <c r="D45" s="1" t="inlineStr">
        <is>
          <t>• SCL ⬅️ LLC-4CH-I2C (HV1)</t>
        </is>
      </c>
    </row>
    <row r="46">
      <c r="B46" s="1" t="n"/>
      <c r="C46" s="1" t="n"/>
      <c r="D46" s="1" t="inlineStr">
        <is>
          <t>• SDA ⬅️ LLC-4CH-I2C (HV2)</t>
        </is>
      </c>
    </row>
    <row r="47">
      <c r="B47" s="1" t="n"/>
      <c r="C47" s="1" t="n"/>
      <c r="D47" s="1" t="inlineStr">
        <is>
          <t>• A0 ⬅️ pH interface board (PO)</t>
        </is>
      </c>
      <c r="E47" s="1" t="n"/>
    </row>
    <row r="48">
      <c r="B48" t="inlineStr">
        <is>
          <t>E-201-C pH electrode + analog interface board</t>
        </is>
      </c>
      <c r="C48" t="inlineStr">
        <is>
          <t>-</t>
        </is>
      </c>
      <c r="D48" s="1" t="inlineStr">
        <is>
          <t>• VCC ⬅️ 5V BUS, GND ⬅️ GND, PO ➡️ ADS1115(A0)</t>
        </is>
      </c>
    </row>
    <row r="49">
      <c r="B49" s="1" t="inlineStr">
        <is>
          <t>HX711 + Load Cell</t>
        </is>
      </c>
      <c r="C49" s="1" t="inlineStr">
        <is>
          <t>HX711</t>
        </is>
      </c>
      <c r="D49" s="1" t="inlineStr">
        <is>
          <t>• VCC ⬅️ 5V BUS, GND ⬅️ GND</t>
        </is>
      </c>
      <c r="E49" s="1" t="inlineStr">
        <is>
          <t>Weight Scale</t>
        </is>
      </c>
    </row>
    <row r="50">
      <c r="D50" s="1" t="inlineStr">
        <is>
          <t>• DT ➡️ GPIO 25, SCK ⬅️ GPIO 26</t>
        </is>
      </c>
    </row>
    <row r="51">
      <c r="B51" s="1" t="inlineStr">
        <is>
          <t>TCS34725 color-sensor breakout</t>
        </is>
      </c>
      <c r="C51" s="1" t="inlineStr">
        <is>
          <t>Adafruit TCS34725</t>
        </is>
      </c>
      <c r="D51" s="1" t="inlineStr">
        <is>
          <t>• VIN ⬅️ 3.3V BUS, GND ⬅️ GND</t>
        </is>
      </c>
      <c r="E51" s="1" t="inlineStr">
        <is>
          <t>Color Sensor</t>
        </is>
      </c>
    </row>
    <row r="52">
      <c r="D52" s="1" t="inlineStr">
        <is>
          <t>• SDA ➡️ GPIO 32, SCL ⬅️ GPIO 33</t>
        </is>
      </c>
    </row>
    <row r="53">
      <c r="A53" s="1" t="n"/>
      <c r="B53" s="1" t="inlineStr">
        <is>
          <t>DS18B20 (Temp)</t>
        </is>
      </c>
      <c r="C53" s="1" t="inlineStr">
        <is>
          <t>DallasTemperature</t>
        </is>
      </c>
      <c r="D53" s="1" t="inlineStr">
        <is>
          <t>• VCC ⬅️ 3.3V BUS, GND ⬅️ GND</t>
        </is>
      </c>
      <c r="E53" s="1" t="inlineStr">
        <is>
          <t>Temperature Sensor</t>
        </is>
      </c>
    </row>
    <row r="54">
      <c r="D54" s="1" t="inlineStr">
        <is>
          <t>• DATA ➡️ GPIO 4 (Requires 4.7k Pull-up Resistor)</t>
        </is>
      </c>
    </row>
    <row r="55">
      <c r="A55" t="inlineStr">
        <is>
          <t>6. Pump Control</t>
        </is>
      </c>
      <c r="B55" t="inlineStr">
        <is>
          <t>Relay Module (1 Channel)</t>
        </is>
      </c>
      <c r="C55" t="inlineStr">
        <is>
          <t>-</t>
        </is>
      </c>
      <c r="D55" s="1" t="inlineStr">
        <is>
          <t>[Control Side - To ESP32]</t>
        </is>
      </c>
      <c r="E55" t="inlineStr">
        <is>
          <t>Switch Pump ON/OFF</t>
        </is>
      </c>
    </row>
    <row r="56">
      <c r="D56" s="1" t="inlineStr">
        <is>
          <t>• VCC ⬅️ 5V BUS</t>
        </is>
      </c>
    </row>
    <row r="57">
      <c r="D57" s="1" t="inlineStr">
        <is>
          <t>• GND ⬅️ GND</t>
        </is>
      </c>
    </row>
    <row r="58">
      <c r="D58" s="1" t="inlineStr">
        <is>
          <t>• IN ⬅️ GPIO 13</t>
        </is>
      </c>
      <c r="E58" s="1" t="n"/>
    </row>
    <row r="59">
      <c r="D59" s="1" t="inlineStr">
        <is>
          <t>[High Power Side - Pump Power]</t>
        </is>
      </c>
      <c r="E59" s="1" t="n"/>
    </row>
    <row r="60">
      <c r="B60" s="1" t="n"/>
      <c r="C60" s="1" t="n"/>
      <c r="D60" s="1" t="inlineStr">
        <is>
          <t>• COM ⬅️ LM2596 #2 (OUT+)</t>
        </is>
      </c>
      <c r="E60" s="1" t="inlineStr">
        <is>
          <t>**Power from Buck #2**</t>
        </is>
      </c>
    </row>
    <row r="61">
      <c r="D61" s="1" t="inlineStr">
        <is>
          <t>• NO ➡️ Pump Red (+)</t>
        </is>
      </c>
      <c r="E61" t="inlineStr">
        <is>
          <t>Connects power when ON</t>
        </is>
      </c>
    </row>
    <row r="62">
      <c r="A62" s="1" t="n"/>
      <c r="B62" s="1" t="inlineStr">
        <is>
          <t>Peristaltic pump (12 V / 3 W, 2-17 mL/min)</t>
        </is>
      </c>
      <c r="C62" s="1" t="inlineStr">
        <is>
          <t>-</t>
        </is>
      </c>
      <c r="D62" s="1" t="inlineStr">
        <is>
          <t>• Red Wire (+) ⬅️ Relay NO</t>
        </is>
      </c>
      <c r="E62" s="1" t="inlineStr">
        <is>
          <t>Pump (Running at ~7.5V)</t>
        </is>
      </c>
    </row>
    <row r="63">
      <c r="D63" s="1" t="inlineStr">
        <is>
          <t>• Black Wire (-) ➡️ COMMON GROUND</t>
        </is>
      </c>
    </row>
    <row r="64">
      <c r="A64" t="inlineStr">
        <is>
          <t>7. Buttons</t>
        </is>
      </c>
      <c r="B64" t="inlineStr">
        <is>
          <t>Buttons (x3)</t>
        </is>
      </c>
      <c r="C64" t="inlineStr">
        <is>
          <t>-</t>
        </is>
      </c>
      <c r="D64" t="inlineStr">
        <is>
          <t>• Pin 1 ➡️ GPIO 27 / 14 / 15</t>
        </is>
      </c>
      <c r="E64" t="inlineStr">
        <is>
          <t>Start / Rinse / Rec</t>
        </is>
      </c>
    </row>
    <row r="65">
      <c r="B65" s="11" t="n"/>
      <c r="C65" s="11" t="n"/>
      <c r="D65" t="inlineStr">
        <is>
          <t>• Pin 2 ➡️ GND</t>
        </is>
      </c>
    </row>
    <row r="66">
      <c r="B66" s="11" t="n"/>
      <c r="C66" s="11" t="n"/>
    </row>
    <row r="67">
      <c r="B67" s="11" t="n"/>
      <c r="C67" s="11" t="n"/>
    </row>
    <row r="68">
      <c r="B68" s="11" t="n"/>
      <c r="C68" s="11" t="n"/>
    </row>
    <row r="69">
      <c r="B69" s="11" t="n"/>
      <c r="C69" s="11" t="n"/>
    </row>
    <row r="70">
      <c r="B70" s="11" t="n"/>
      <c r="C70" s="11" t="n"/>
    </row>
    <row r="71">
      <c r="B71" s="11" t="n"/>
      <c r="C71" s="11" t="n"/>
    </row>
    <row r="72">
      <c r="B72" s="11" t="n"/>
      <c r="C72" s="11" t="n"/>
    </row>
    <row r="73">
      <c r="B73" s="11" t="n"/>
      <c r="C73" s="11" t="n"/>
    </row>
  </sheetData>
  <pageMargins left="0.25" right="0.25" top="0.25" bottom="0.25" header="0.3" footer="0.3"/>
  <pageSetup orientation="landscape" paperSize="9" scale="90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zoomScaleNormal="100" workbookViewId="0">
      <selection activeCell="D23" sqref="D23"/>
    </sheetView>
  </sheetViews>
  <sheetFormatPr baseColWidth="8" defaultColWidth="8.81640625" defaultRowHeight="14"/>
  <cols>
    <col width="9" bestFit="1" customWidth="1" style="1" min="1" max="1"/>
    <col width="18" bestFit="1" customWidth="1" style="1" min="2" max="2"/>
    <col hidden="1" width="16" customWidth="1" style="1" min="3" max="3"/>
    <col width="62" bestFit="1" customWidth="1" style="1" min="4" max="4"/>
    <col width="34" bestFit="1" customWidth="1" style="1" min="5" max="5"/>
    <col width="6" bestFit="1" customWidth="1" style="1" min="6" max="6"/>
    <col width="15" customWidth="1" style="1" min="7" max="7"/>
    <col width="15" bestFit="1" customWidth="1" style="1" min="8" max="8"/>
    <col width="12" customWidth="1" style="1" min="9" max="16384"/>
  </cols>
  <sheetData>
    <row r="1">
      <c r="A1" s="14" t="inlineStr">
        <is>
          <t>Item No.</t>
        </is>
      </c>
      <c r="B1" s="14" t="inlineStr">
        <is>
          <t>Product Code</t>
        </is>
      </c>
      <c r="C1" s="14" t="inlineStr">
        <is>
          <t>Category</t>
        </is>
      </c>
      <c r="D1" s="14" t="inlineStr">
        <is>
          <t>Description</t>
        </is>
      </c>
      <c r="E1" s="14" t="inlineStr">
        <is>
          <t>Country of Origin</t>
        </is>
      </c>
      <c r="F1" s="14" t="inlineStr">
        <is>
          <t>Qty</t>
        </is>
      </c>
      <c r="G1" s="14" t="inlineStr">
        <is>
          <t>Unit Cost (THB)</t>
        </is>
      </c>
      <c r="H1" s="14" t="inlineStr">
        <is>
          <t>Unit Cost (USD)</t>
        </is>
      </c>
      <c r="I1" s="14" t="inlineStr">
        <is>
          <t>Cost (USD)</t>
        </is>
      </c>
    </row>
    <row r="2">
      <c r="A2" s="17" t="n">
        <v>1</v>
      </c>
      <c r="B2" s="27" t="inlineStr">
        <is>
          <t>ESP-WROOM-32</t>
        </is>
      </c>
      <c r="C2" s="28" t="inlineStr">
        <is>
          <t>🧠 MCU</t>
        </is>
      </c>
      <c r="D2" s="28" t="inlineStr">
        <is>
          <t>ESP32-WROOM-32 development board (38-pin)</t>
        </is>
      </c>
      <c r="E2" s="28" t="inlineStr">
        <is>
          <t>China (Espressif Systems, Shanghai)</t>
        </is>
      </c>
      <c r="F2" s="18" t="n">
        <v>1</v>
      </c>
      <c r="G2" s="29" t="n">
        <v>194</v>
      </c>
      <c r="H2" s="20">
        <f>G2/32.43</f>
        <v/>
      </c>
      <c r="I2" s="21">
        <f>F2*H2</f>
        <v/>
      </c>
    </row>
    <row r="3">
      <c r="A3" s="17" t="n">
        <v>2</v>
      </c>
      <c r="B3" s="27" t="inlineStr">
        <is>
          <t>S-60-12 type</t>
        </is>
      </c>
      <c r="C3" s="28" t="inlineStr">
        <is>
          <t>🔌 Power</t>
        </is>
      </c>
      <c r="D3" s="28" t="inlineStr">
        <is>
          <t>12 V / 5 A (60 W) switching power supply</t>
        </is>
      </c>
      <c r="E3" s="28" t="inlineStr">
        <is>
          <t>Thailand (AEI.th, Bangkok)</t>
        </is>
      </c>
      <c r="F3" s="18" t="n">
        <v>1</v>
      </c>
      <c r="G3" s="29" t="n">
        <v>130</v>
      </c>
      <c r="H3" s="20">
        <f>G3/32.43</f>
        <v/>
      </c>
      <c r="I3" s="21">
        <f>F3*H3</f>
        <v/>
      </c>
    </row>
    <row r="4">
      <c r="A4" s="17" t="n">
        <v>3</v>
      </c>
      <c r="B4" s="27" t="inlineStr">
        <is>
          <t>LM2596-ADJ</t>
        </is>
      </c>
      <c r="C4" s="28" t="n"/>
      <c r="D4" s="28" t="inlineStr">
        <is>
          <t>LM2596 adjustable buck converter (5 V bus and pump supply)</t>
        </is>
      </c>
      <c r="E4" s="28" t="inlineStr">
        <is>
          <t>China</t>
        </is>
      </c>
      <c r="F4" s="18" t="n">
        <v>2</v>
      </c>
      <c r="G4" s="29" t="n">
        <v>40</v>
      </c>
      <c r="H4" s="20">
        <f>G4/32.43</f>
        <v/>
      </c>
      <c r="I4" s="21">
        <f>F4*H4</f>
        <v/>
      </c>
    </row>
    <row r="5">
      <c r="A5" s="17" t="n">
        <v>4</v>
      </c>
      <c r="B5" s="27" t="inlineStr">
        <is>
          <t>SD-TF-SPI</t>
        </is>
      </c>
      <c r="C5" s="28" t="inlineStr">
        <is>
          <t>💾 Data &amp; Time</t>
        </is>
      </c>
      <c r="D5" s="28" t="inlineStr">
        <is>
          <t>microSD card module (SPI)</t>
        </is>
      </c>
      <c r="E5" s="28" t="inlineStr">
        <is>
          <t>China</t>
        </is>
      </c>
      <c r="F5" s="18" t="n">
        <v>1</v>
      </c>
      <c r="G5" s="29" t="n">
        <v>17</v>
      </c>
      <c r="H5" s="20">
        <f>G5/32.43</f>
        <v/>
      </c>
      <c r="I5" s="21">
        <f>F5*H5</f>
        <v/>
      </c>
    </row>
    <row r="6">
      <c r="A6" s="17" t="n">
        <v>5</v>
      </c>
      <c r="B6" s="27" t="inlineStr">
        <is>
          <t>-</t>
        </is>
      </c>
      <c r="C6" s="28" t="n"/>
      <c r="D6" s="28" t="inlineStr">
        <is>
          <t>microSD card, 16 GB</t>
        </is>
      </c>
      <c r="E6" s="28" t="inlineStr">
        <is>
          <t>China</t>
        </is>
      </c>
      <c r="F6" s="18" t="n">
        <v>1</v>
      </c>
      <c r="G6" s="29" t="n">
        <v>120</v>
      </c>
      <c r="H6" s="20">
        <f>G6/32.43</f>
        <v/>
      </c>
      <c r="I6" s="21">
        <f>F6*H6</f>
        <v/>
      </c>
    </row>
    <row r="7">
      <c r="A7" s="17" t="n">
        <v>6</v>
      </c>
      <c r="B7" s="27" t="inlineStr">
        <is>
          <t>DS3231-RTC</t>
        </is>
      </c>
      <c r="C7" s="28" t="n"/>
      <c r="D7" s="28" t="inlineStr">
        <is>
          <t>DS3231 real-time-clock module (I2C)</t>
        </is>
      </c>
      <c r="E7" s="28" t="inlineStr">
        <is>
          <t>China</t>
        </is>
      </c>
      <c r="F7" s="18" t="n">
        <v>1</v>
      </c>
      <c r="G7" s="29" t="n">
        <v>60</v>
      </c>
      <c r="H7" s="20">
        <f>G7/32.43</f>
        <v/>
      </c>
      <c r="I7" s="21">
        <f>F7*H7</f>
        <v/>
      </c>
    </row>
    <row r="8">
      <c r="A8" s="17" t="n">
        <v>7</v>
      </c>
      <c r="B8" s="27" t="inlineStr">
        <is>
          <t>LCD1602A-I2C</t>
        </is>
      </c>
      <c r="C8" s="28" t="n"/>
      <c r="D8" s="28" t="inlineStr">
        <is>
          <t>LCD 16 × 2 character display with PCF8574 I2C backpack</t>
        </is>
      </c>
      <c r="E8" s="28" t="inlineStr">
        <is>
          <t>Thailand (ModuleMore)</t>
        </is>
      </c>
      <c r="F8" s="18" t="n">
        <v>1</v>
      </c>
      <c r="G8" s="29" t="n">
        <v>99</v>
      </c>
      <c r="H8" s="20">
        <f>G8/32.43</f>
        <v/>
      </c>
      <c r="I8" s="21">
        <f>F8*H8</f>
        <v/>
      </c>
    </row>
    <row r="9">
      <c r="A9" s="17" t="n">
        <v>8</v>
      </c>
      <c r="B9" s="27" t="inlineStr">
        <is>
          <t>HX711-200G-KIT</t>
        </is>
      </c>
      <c r="C9" s="28" t="inlineStr">
        <is>
          <t>🔬 Sensors</t>
        </is>
      </c>
      <c r="D9" s="28" t="inlineStr">
        <is>
          <t>Strain-gauge load cell, 200 g, with HX711 24-bit amplifier</t>
        </is>
      </c>
      <c r="E9" s="28" t="inlineStr">
        <is>
          <t>China</t>
        </is>
      </c>
      <c r="F9" s="18" t="n">
        <v>1</v>
      </c>
      <c r="G9" s="29" t="n">
        <v>265</v>
      </c>
      <c r="H9" s="20">
        <f>G9/32.43</f>
        <v/>
      </c>
      <c r="I9" s="21">
        <f>F9*H9</f>
        <v/>
      </c>
    </row>
    <row r="10">
      <c r="A10" s="17" t="n">
        <v>9</v>
      </c>
      <c r="B10" s="27" t="inlineStr">
        <is>
          <t>E-201-C</t>
        </is>
      </c>
      <c r="C10" s="28" t="n"/>
      <c r="D10" s="28" t="inlineStr">
        <is>
          <t>E-201-C glass combination pH electrode with analog interface board</t>
        </is>
      </c>
      <c r="E10" s="28" t="inlineStr">
        <is>
          <t>Thailand (AEI.th, Bangkok)</t>
        </is>
      </c>
      <c r="F10" s="18" t="n">
        <v>1</v>
      </c>
      <c r="G10" s="29" t="n">
        <v>278</v>
      </c>
      <c r="H10" s="20">
        <f>G10/32.43</f>
        <v/>
      </c>
      <c r="I10" s="21">
        <f>F10*H10</f>
        <v/>
      </c>
    </row>
    <row r="11">
      <c r="A11" s="17" t="n">
        <v>10</v>
      </c>
      <c r="B11" s="27" t="inlineStr">
        <is>
          <t>DS18B20-WP</t>
        </is>
      </c>
      <c r="C11" s="28" t="n"/>
      <c r="D11" s="28" t="inlineStr">
        <is>
          <t>DS18B20 waterproof digital temperature probe</t>
        </is>
      </c>
      <c r="E11" s="28" t="inlineStr">
        <is>
          <t>China</t>
        </is>
      </c>
      <c r="F11" s="18" t="n">
        <v>1</v>
      </c>
      <c r="G11" s="29" t="n">
        <v>48</v>
      </c>
      <c r="H11" s="20">
        <f>G11/32.43</f>
        <v/>
      </c>
      <c r="I11" s="21">
        <f>F11*H11</f>
        <v/>
      </c>
    </row>
    <row r="12">
      <c r="A12" s="17" t="n">
        <v>11</v>
      </c>
      <c r="B12" s="27" t="inlineStr">
        <is>
          <t>TCS34725-RGB</t>
        </is>
      </c>
      <c r="C12" s="28" t="n"/>
      <c r="D12" s="28" t="inlineStr">
        <is>
          <t>TCS34725 color sensor module (sensor die: ams-OSRAM AG, Austria)</t>
        </is>
      </c>
      <c r="E12" s="28" t="inlineStr">
        <is>
          <t>Thailand (O.R. Technology, Bangkok)</t>
        </is>
      </c>
      <c r="F12" s="18" t="n">
        <v>1</v>
      </c>
      <c r="G12" s="29" t="n">
        <v>120</v>
      </c>
      <c r="H12" s="20">
        <f>G12/32.43</f>
        <v/>
      </c>
      <c r="I12" s="21">
        <f>F12*H12</f>
        <v/>
      </c>
    </row>
    <row r="13">
      <c r="A13" s="17" t="n">
        <v>12</v>
      </c>
      <c r="B13" s="27" t="inlineStr">
        <is>
          <t>MI-Water-EC485</t>
        </is>
      </c>
      <c r="C13" s="28" t="n"/>
      <c r="D13" s="28" t="inlineStr">
        <is>
          <t>Platinum-black conductivity electrode with RS-485 Modbus transmitter</t>
        </is>
      </c>
      <c r="E13" s="28" t="inlineStr">
        <is>
          <t>China (supplied by Miniature Innovation Solution Co., Ltd., Thailand)</t>
        </is>
      </c>
      <c r="F13" s="18" t="n">
        <v>1</v>
      </c>
      <c r="G13" s="29" t="n">
        <v>2852</v>
      </c>
      <c r="H13" s="20">
        <f>G13/32.43</f>
        <v/>
      </c>
      <c r="I13" s="21">
        <f>F13*H13</f>
        <v/>
      </c>
    </row>
    <row r="14">
      <c r="A14" s="17" t="n">
        <v>13</v>
      </c>
      <c r="B14" s="27" t="inlineStr">
        <is>
          <t>MAX485-TTL</t>
        </is>
      </c>
      <c r="C14" s="28" t="inlineStr">
        <is>
          <t>🎛️ Interface</t>
        </is>
      </c>
      <c r="D14" s="28" t="inlineStr">
        <is>
          <t>MAX485 TTL-to-RS-485 transceiver module</t>
        </is>
      </c>
      <c r="E14" s="28" t="inlineStr">
        <is>
          <t>China</t>
        </is>
      </c>
      <c r="F14" s="18" t="n">
        <v>1</v>
      </c>
      <c r="G14" s="29" t="n">
        <v>15</v>
      </c>
      <c r="H14" s="20">
        <f>G14/32.43</f>
        <v/>
      </c>
      <c r="I14" s="21">
        <f>F14*H14</f>
        <v/>
      </c>
    </row>
    <row r="15">
      <c r="A15" s="17" t="n">
        <v>14</v>
      </c>
      <c r="B15" s="27" t="inlineStr">
        <is>
          <t>LLC-4CH-I2C</t>
        </is>
      </c>
      <c r="C15" s="28" t="n"/>
      <c r="D15" s="28" t="inlineStr">
        <is>
          <t>Bidirectional I2C logic-level converter, 5 V / 3.3 V (ADS1115 bus)</t>
        </is>
      </c>
      <c r="E15" s="28" t="inlineStr">
        <is>
          <t>China</t>
        </is>
      </c>
      <c r="F15" s="18" t="n">
        <v>1</v>
      </c>
      <c r="G15" s="29" t="n">
        <v>29</v>
      </c>
      <c r="H15" s="20">
        <f>G15/32.43</f>
        <v/>
      </c>
      <c r="I15" s="21">
        <f>F15*H15</f>
        <v/>
      </c>
    </row>
    <row r="16">
      <c r="A16" s="17" t="n">
        <v>15</v>
      </c>
      <c r="B16" s="27" t="inlineStr">
        <is>
          <t>ADS1115-I2C</t>
        </is>
      </c>
      <c r="C16" s="28" t="n"/>
      <c r="D16" s="28" t="inlineStr">
        <is>
          <t>ADS1115 16-bit ADC module (Texas Instruments, USA)</t>
        </is>
      </c>
      <c r="E16" s="28" t="inlineStr">
        <is>
          <t>China</t>
        </is>
      </c>
      <c r="F16" s="18" t="n">
        <v>1</v>
      </c>
      <c r="G16" s="29" t="n">
        <v>117</v>
      </c>
      <c r="H16" s="20">
        <f>G16/32.43</f>
        <v/>
      </c>
      <c r="I16" s="21">
        <f>F16*H16</f>
        <v/>
      </c>
    </row>
    <row r="17">
      <c r="A17" s="17" t="n">
        <v>16</v>
      </c>
      <c r="B17" s="27" t="inlineStr">
        <is>
          <t>RELAY-5V-1CH</t>
        </is>
      </c>
      <c r="C17" s="28" t="inlineStr">
        <is>
          <t>📤 I/O</t>
        </is>
      </c>
      <c r="D17" s="28" t="inlineStr">
        <is>
          <t>Relay module, 1 channel, 5 V</t>
        </is>
      </c>
      <c r="E17" s="28" t="inlineStr">
        <is>
          <t>China</t>
        </is>
      </c>
      <c r="F17" s="18" t="n">
        <v>1</v>
      </c>
      <c r="G17" s="29" t="n">
        <v>26</v>
      </c>
      <c r="H17" s="20">
        <f>G17/32.43</f>
        <v/>
      </c>
      <c r="I17" s="21">
        <f>F17*H17</f>
        <v/>
      </c>
    </row>
    <row r="18">
      <c r="A18" s="17" t="n">
        <v>17</v>
      </c>
      <c r="B18" s="27" t="inlineStr">
        <is>
          <t>BTN-TACT-12MM</t>
        </is>
      </c>
      <c r="C18" s="28" t="n"/>
      <c r="D18" s="28" t="inlineStr">
        <is>
          <t>Tactile push button, 12 mm</t>
        </is>
      </c>
      <c r="E18" s="28" t="inlineStr">
        <is>
          <t>China</t>
        </is>
      </c>
      <c r="F18" s="18" t="n">
        <v>3</v>
      </c>
      <c r="G18" s="29" t="n">
        <v>10</v>
      </c>
      <c r="H18" s="20">
        <f>G18/32.43</f>
        <v/>
      </c>
      <c r="I18" s="21">
        <f>F18*H18</f>
        <v/>
      </c>
    </row>
    <row r="19">
      <c r="A19" s="17" t="n">
        <v>18</v>
      </c>
      <c r="B19" s="27" t="inlineStr">
        <is>
          <t>PUMP-PERIST-12V</t>
        </is>
      </c>
      <c r="C19" s="28" t="n"/>
      <c r="D19" s="28" t="inlineStr">
        <is>
          <t>Peristaltic pump, 12 V / 3 W, 2–17 mL/min (run at ~7.5 V via LM2596 #2)</t>
        </is>
      </c>
      <c r="E19" s="28" t="inlineStr">
        <is>
          <t>Thailand (ModuleMore)</t>
        </is>
      </c>
      <c r="F19" s="18" t="n">
        <v>1</v>
      </c>
      <c r="G19" s="29" t="n">
        <v>220</v>
      </c>
      <c r="H19" s="20">
        <f>G19/32.43</f>
        <v/>
      </c>
      <c r="I19" s="21">
        <f>F19*H19</f>
        <v/>
      </c>
    </row>
    <row r="20">
      <c r="A20" s="17" t="n">
        <v>19</v>
      </c>
      <c r="B20" s="27" t="inlineStr">
        <is>
          <t>-</t>
        </is>
      </c>
      <c r="C20" s="28" t="inlineStr">
        <is>
          <t>🧰 Consumables</t>
        </is>
      </c>
      <c r="D20" s="28" t="inlineStr">
        <is>
          <t>Dupont jumper wire set (40 pieces)</t>
        </is>
      </c>
      <c r="E20" s="28" t="inlineStr">
        <is>
          <t>Thailand (retail)</t>
        </is>
      </c>
      <c r="F20" s="18" t="n">
        <v>1</v>
      </c>
      <c r="G20" s="29" t="n">
        <v>45</v>
      </c>
      <c r="H20" s="20">
        <f>G20/32.43</f>
        <v/>
      </c>
      <c r="I20" s="21">
        <f>F20*H20</f>
        <v/>
      </c>
    </row>
    <row r="21">
      <c r="A21" s="17" t="n">
        <v>20</v>
      </c>
      <c r="B21" s="27" t="inlineStr">
        <is>
          <t>-</t>
        </is>
      </c>
      <c r="C21" s="28" t="n"/>
      <c r="D21" s="28" t="inlineStr">
        <is>
          <t>Screw terminals and lever connectors</t>
        </is>
      </c>
      <c r="E21" s="28" t="inlineStr">
        <is>
          <t>Thailand (retail)</t>
        </is>
      </c>
      <c r="F21" s="18" t="n">
        <v>1</v>
      </c>
      <c r="G21" s="29" t="n">
        <v>60</v>
      </c>
      <c r="H21" s="20">
        <f>G21/32.43</f>
        <v/>
      </c>
      <c r="I21" s="21">
        <f>F21*H21</f>
        <v/>
      </c>
    </row>
    <row r="22">
      <c r="A22" s="17" t="n">
        <v>21</v>
      </c>
      <c r="B22" s="27" t="inlineStr">
        <is>
          <t>-</t>
        </is>
      </c>
      <c r="C22" s="28" t="n"/>
      <c r="D22" s="28" t="inlineStr">
        <is>
          <t>Solder wire</t>
        </is>
      </c>
      <c r="E22" s="28" t="inlineStr">
        <is>
          <t>Thailand (retail)</t>
        </is>
      </c>
      <c r="F22" s="18" t="n">
        <v>1</v>
      </c>
      <c r="G22" s="29" t="n">
        <v>60</v>
      </c>
      <c r="H22" s="20">
        <f>G22/32.43</f>
        <v/>
      </c>
      <c r="I22" s="21">
        <f>F22*H22</f>
        <v/>
      </c>
    </row>
    <row r="23">
      <c r="A23" s="17" t="n">
        <v>22</v>
      </c>
      <c r="B23" s="27" t="inlineStr">
        <is>
          <t>-</t>
        </is>
      </c>
      <c r="C23" s="28" t="n"/>
      <c r="D23" s="28" t="inlineStr">
        <is>
          <t>M3 screws, nuts and standoffs</t>
        </is>
      </c>
      <c r="E23" s="28" t="inlineStr">
        <is>
          <t>Thailand (retail)</t>
        </is>
      </c>
      <c r="F23" s="18" t="n">
        <v>1</v>
      </c>
      <c r="G23" s="29" t="n">
        <v>50</v>
      </c>
      <c r="H23" s="20">
        <f>G23/32.43</f>
        <v/>
      </c>
      <c r="I23" s="21">
        <f>F23*H23</f>
        <v/>
      </c>
    </row>
    <row r="24">
      <c r="A24" s="17" t="n">
        <v>23</v>
      </c>
      <c r="B24" s="27" t="inlineStr">
        <is>
          <t>-</t>
        </is>
      </c>
      <c r="C24" s="28" t="n"/>
      <c r="D24" s="28" t="inlineStr">
        <is>
          <t>Silicone tubing, 1.0 × 3.0 mm, 1 m</t>
        </is>
      </c>
      <c r="E24" s="28" t="inlineStr">
        <is>
          <t>Thailand (retail)</t>
        </is>
      </c>
      <c r="F24" s="18" t="n">
        <v>1</v>
      </c>
      <c r="G24" s="29" t="n">
        <v>40</v>
      </c>
      <c r="H24" s="20">
        <f>G24/32.43</f>
        <v/>
      </c>
      <c r="I24" s="21">
        <f>F24*H24</f>
        <v/>
      </c>
    </row>
    <row r="25">
      <c r="A25" s="17" t="n">
        <v>24</v>
      </c>
      <c r="B25" s="27" t="inlineStr">
        <is>
          <t>-</t>
        </is>
      </c>
      <c r="C25" s="28" t="n"/>
      <c r="D25" s="28" t="inlineStr">
        <is>
          <t>Titrant bottle, 250 mL, with cap</t>
        </is>
      </c>
      <c r="E25" s="28" t="inlineStr">
        <is>
          <t>Thailand (retail)</t>
        </is>
      </c>
      <c r="F25" s="18" t="n">
        <v>1</v>
      </c>
      <c r="G25" s="29" t="n">
        <v>40</v>
      </c>
      <c r="H25" s="20">
        <f>G25/32.43</f>
        <v/>
      </c>
      <c r="I25" s="21">
        <f>F25*H25</f>
        <v/>
      </c>
    </row>
    <row r="26">
      <c r="A26" s="17" t="n">
        <v>25</v>
      </c>
      <c r="B26" s="27" t="inlineStr">
        <is>
          <t>-</t>
        </is>
      </c>
      <c r="C26" s="28" t="n"/>
      <c r="D26" s="28" t="inlineStr">
        <is>
          <t>Expanded-polystyrene calorimeter enclosure</t>
        </is>
      </c>
      <c r="E26" s="28" t="inlineStr">
        <is>
          <t>Thailand (retail)</t>
        </is>
      </c>
      <c r="F26" s="18" t="n">
        <v>1</v>
      </c>
      <c r="G26" s="29" t="n">
        <v>30</v>
      </c>
      <c r="H26" s="20">
        <f>G26/32.43</f>
        <v/>
      </c>
      <c r="I26" s="21">
        <f>F26*H26</f>
        <v/>
      </c>
    </row>
    <row r="27">
      <c r="A27" s="17" t="n">
        <v>26</v>
      </c>
      <c r="B27" s="27" t="inlineStr">
        <is>
          <t>-</t>
        </is>
      </c>
      <c r="C27" s="28" t="n"/>
      <c r="D27" s="28" t="inlineStr">
        <is>
          <t>Heat-shrink tubing assortment</t>
        </is>
      </c>
      <c r="E27" s="28" t="inlineStr">
        <is>
          <t>Thailand (retail)</t>
        </is>
      </c>
      <c r="F27" s="18" t="n">
        <v>1</v>
      </c>
      <c r="G27" s="29" t="n">
        <v>30</v>
      </c>
      <c r="H27" s="20">
        <f>G27/32.43</f>
        <v/>
      </c>
      <c r="I27" s="21">
        <f>F27*H27</f>
        <v/>
      </c>
    </row>
    <row r="28">
      <c r="A28" s="17" t="n">
        <v>27</v>
      </c>
      <c r="B28" s="27" t="inlineStr">
        <is>
          <t>-</t>
        </is>
      </c>
      <c r="C28" s="28" t="n"/>
      <c r="D28" s="28" t="inlineStr">
        <is>
          <t>DC barrel jack and mains lead</t>
        </is>
      </c>
      <c r="E28" s="28" t="inlineStr">
        <is>
          <t>Thailand (retail)</t>
        </is>
      </c>
      <c r="F28" s="18" t="n">
        <v>1</v>
      </c>
      <c r="G28" s="29" t="n">
        <v>25</v>
      </c>
      <c r="H28" s="20">
        <f>G28/32.43</f>
        <v/>
      </c>
      <c r="I28" s="21">
        <f>F28*H28</f>
        <v/>
      </c>
    </row>
    <row r="29">
      <c r="A29" s="17" t="n">
        <v>28</v>
      </c>
      <c r="B29" s="27" t="inlineStr">
        <is>
          <t>-</t>
        </is>
      </c>
      <c r="C29" s="28" t="n"/>
      <c r="D29" s="28" t="inlineStr">
        <is>
          <t>PETG filament for the 3D-printed probe lid (~10 g)</t>
        </is>
      </c>
      <c r="E29" s="28" t="inlineStr">
        <is>
          <t>Thailand (retail)</t>
        </is>
      </c>
      <c r="F29" s="18" t="n">
        <v>1</v>
      </c>
      <c r="G29" s="29" t="n">
        <v>20</v>
      </c>
      <c r="H29" s="20">
        <f>G29/32.43</f>
        <v/>
      </c>
      <c r="I29" s="21">
        <f>F29*H29</f>
        <v/>
      </c>
    </row>
    <row r="30">
      <c r="A30" s="17" t="n">
        <v>29</v>
      </c>
      <c r="B30" s="27" t="inlineStr">
        <is>
          <t>-</t>
        </is>
      </c>
      <c r="C30" s="28" t="n"/>
      <c r="D30" s="28" t="inlineStr">
        <is>
          <t>Prototyping perfboard, 7 × 9 cm</t>
        </is>
      </c>
      <c r="E30" s="28" t="inlineStr">
        <is>
          <t>Thailand (retail)</t>
        </is>
      </c>
      <c r="F30" s="18" t="n">
        <v>1</v>
      </c>
      <c r="G30" s="29" t="n">
        <v>15</v>
      </c>
      <c r="H30" s="20">
        <f>G30/32.43</f>
        <v/>
      </c>
      <c r="I30" s="21">
        <f>F30*H30</f>
        <v/>
      </c>
    </row>
    <row r="31">
      <c r="A31" s="17" t="n">
        <v>30</v>
      </c>
      <c r="B31" s="27" t="inlineStr">
        <is>
          <t>-</t>
        </is>
      </c>
      <c r="C31" s="28" t="n"/>
      <c r="D31" s="28" t="inlineStr">
        <is>
          <t>Passive components (4.7 kΩ pull-up, decoupling capacitors)</t>
        </is>
      </c>
      <c r="E31" s="28" t="inlineStr">
        <is>
          <t>Thailand (retail)</t>
        </is>
      </c>
      <c r="F31" s="18" t="n">
        <v>1</v>
      </c>
      <c r="G31" s="29" t="n">
        <v>10</v>
      </c>
      <c r="H31" s="20">
        <f>G31/32.43</f>
        <v/>
      </c>
      <c r="I31" s="21">
        <f>F31*H31</f>
        <v/>
      </c>
    </row>
    <row r="32">
      <c r="G32">
        <f>SUMPRODUCT(F2:F31,G2:G31)</f>
        <v/>
      </c>
      <c r="H32" t="inlineStr">
        <is>
          <t>TOTAL:</t>
        </is>
      </c>
      <c r="I32">
        <f>SUM(I2:I31)</f>
        <v/>
      </c>
    </row>
    <row r="34">
      <c r="A34" t="inlineStr">
        <is>
          <t>Prices as purchased (components) or typical Thai retail (lines 19-30), converted at 32.43 THB per USD. Identical to Supplementary Table S1; total THB 5,125 = USD 158.03.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26" sqref="C26"/>
    </sheetView>
  </sheetViews>
  <sheetFormatPr baseColWidth="8" defaultColWidth="8.81640625" defaultRowHeight="14"/>
  <cols>
    <col width="19.81640625" bestFit="1" customWidth="1" style="1" min="1" max="1"/>
    <col width="20" bestFit="1" customWidth="1" style="1" min="2" max="2"/>
    <col width="57.90625" bestFit="1" customWidth="1" style="1" min="3" max="3"/>
    <col width="8.81640625" customWidth="1" style="1" min="4" max="16384"/>
  </cols>
  <sheetData>
    <row r="1">
      <c r="A1" s="5" t="inlineStr">
        <is>
          <t>Library</t>
        </is>
      </c>
      <c r="B1" s="6" t="inlineStr">
        <is>
          <t>Author</t>
        </is>
      </c>
      <c r="C1" s="7" t="inlineStr">
        <is>
          <t>Usage / Purpose</t>
        </is>
      </c>
    </row>
    <row r="2">
      <c r="A2" s="2" t="inlineStr">
        <is>
          <t>OneWire</t>
        </is>
      </c>
      <c r="B2" s="8" t="inlineStr">
        <is>
          <t>Paul Stoffregen</t>
        </is>
      </c>
      <c r="C2" s="3" t="inlineStr">
        <is>
          <t>Communication protocol for DS18B20</t>
        </is>
      </c>
    </row>
    <row r="3">
      <c r="A3" s="2" t="inlineStr">
        <is>
          <t>DallasTemperature</t>
        </is>
      </c>
      <c r="B3" s="8" t="inlineStr">
        <is>
          <t>Miles Burton</t>
        </is>
      </c>
      <c r="C3" s="3" t="inlineStr">
        <is>
          <t>Reading temperature data</t>
        </is>
      </c>
    </row>
    <row r="4">
      <c r="A4" s="2" t="inlineStr">
        <is>
          <t>HX711_ADC</t>
        </is>
      </c>
      <c r="B4" s="8" t="inlineStr">
        <is>
          <t>Olav Kallhovd</t>
        </is>
      </c>
      <c r="C4" s="3" t="inlineStr">
        <is>
          <t>Reading Load Cell weight data</t>
        </is>
      </c>
    </row>
    <row r="5">
      <c r="A5" s="2" t="inlineStr">
        <is>
          <t>Wire</t>
        </is>
      </c>
      <c r="B5" s="8" t="inlineStr">
        <is>
          <t>Arduino</t>
        </is>
      </c>
      <c r="C5" s="3" t="inlineStr">
        <is>
          <t>I2C Communication (ESP32 Built-in)</t>
        </is>
      </c>
    </row>
    <row r="6">
      <c r="A6" s="2" t="inlineStr">
        <is>
          <t>SPI</t>
        </is>
      </c>
      <c r="B6" s="8" t="inlineStr">
        <is>
          <t>Arduino</t>
        </is>
      </c>
      <c r="C6" s="3" t="inlineStr">
        <is>
          <t>SPI Communication (ESP32 Built-in)</t>
        </is>
      </c>
    </row>
    <row r="7">
      <c r="A7" s="2" t="inlineStr">
        <is>
          <t>SD</t>
        </is>
      </c>
      <c r="B7" s="8" t="inlineStr">
        <is>
          <t>Arduino</t>
        </is>
      </c>
      <c r="C7" s="3" t="inlineStr">
        <is>
          <t>SD Card file management</t>
        </is>
      </c>
    </row>
    <row r="8">
      <c r="A8" s="4" t="inlineStr">
        <is>
          <t>Adafruit ADS1X15</t>
        </is>
      </c>
      <c r="B8" s="8" t="inlineStr">
        <is>
          <t>Adafruit</t>
        </is>
      </c>
      <c r="C8" s="9" t="inlineStr">
        <is>
          <t>Controlling ADS1115 (High prec. ADC for pH)</t>
        </is>
      </c>
    </row>
    <row r="9">
      <c r="A9" s="2" t="inlineStr">
        <is>
          <t>Adafruit TCS34725</t>
        </is>
      </c>
      <c r="B9" s="8" t="inlineStr">
        <is>
          <t>Adafruit</t>
        </is>
      </c>
      <c r="C9" s="3" t="inlineStr">
        <is>
          <t>Reading Color Sensor data</t>
        </is>
      </c>
    </row>
    <row r="10">
      <c r="A10" s="2" t="inlineStr">
        <is>
          <t>RTClib</t>
        </is>
      </c>
      <c r="B10" s="8" t="inlineStr">
        <is>
          <t>Adafruit</t>
        </is>
      </c>
      <c r="C10" s="3" t="inlineStr">
        <is>
          <t>Controlling DS3231/DS1307 RTC</t>
        </is>
      </c>
    </row>
    <row r="11">
      <c r="A11" s="2" t="inlineStr">
        <is>
          <t>ModbusMaster</t>
        </is>
      </c>
      <c r="B11" s="8" t="inlineStr">
        <is>
          <t>4-20ma.io</t>
        </is>
      </c>
      <c r="C11" s="3" t="inlineStr">
        <is>
          <t>Communication with EC Sensor (RS485)</t>
        </is>
      </c>
    </row>
    <row r="12">
      <c r="A12" s="2" t="inlineStr">
        <is>
          <t>WebServer</t>
        </is>
      </c>
      <c r="B12" s="8" t="inlineStr">
        <is>
          <t>Arduino</t>
        </is>
      </c>
      <c r="C12" s="3" t="inlineStr">
        <is>
          <t>Creating Web Interface (ESP32 Built-in)</t>
        </is>
      </c>
    </row>
    <row r="13">
      <c r="A13" s="2" t="inlineStr">
        <is>
          <t>LiquidCrystal_I2C</t>
        </is>
      </c>
      <c r="B13" s="8" t="inlineStr">
        <is>
          <t>Frank de Brabander</t>
        </is>
      </c>
      <c r="C13" s="3" t="inlineStr">
        <is>
          <t>16×2 LCD with PCF8574 I2C backpack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2026-09-15T10:41:12Z</dcterms:created>
  <dcterms:modified xmlns:dcterms="http://purl.org/dc/terms/" xmlns:xsi="http://www.w3.org/2001/XMLSchema-instance" xsi:type="dcterms:W3CDTF">2026-09-15T10:41:25Z</dcterms:modified>
  <cp:lastModifiedBy>Teeranan Nongnual</cp:lastModifiedBy>
  <cp:lastPrinted>2025-12-16T05:45:02Z</cp:lastPrinted>
</cp:coreProperties>
</file>