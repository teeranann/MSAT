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7430939440683e/Project-2026-MSAT-Autotitration X/"/>
    </mc:Choice>
  </mc:AlternateContent>
  <xr:revisionPtr revIDLastSave="399" documentId="11_A63429B83B4ABB6787BEC114DF2528E350C285BB" xr6:coauthVersionLast="47" xr6:coauthVersionMax="47" xr10:uidLastSave="{F83530E1-9CCD-46EF-BDD9-8B09293A25C2}"/>
  <bookViews>
    <workbookView xWindow="-110" yWindow="-110" windowWidth="38620" windowHeight="21100" activeTab="1" xr2:uid="{00000000-000D-0000-FFFF-FFFF00000000}"/>
  </bookViews>
  <sheets>
    <sheet name="wiring" sheetId="1" r:id="rId1"/>
    <sheet name="components" sheetId="2" r:id="rId2"/>
    <sheet name="libra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2" s="1"/>
  <c r="H19" i="2" s="1"/>
  <c r="G3" i="2"/>
  <c r="G4" i="2"/>
  <c r="G5" i="2"/>
  <c r="G6" i="2"/>
  <c r="G7" i="2"/>
  <c r="G8" i="2"/>
  <c r="G9" i="2"/>
  <c r="G10" i="2"/>
  <c r="G11" i="2"/>
  <c r="H11" i="2" s="1"/>
  <c r="G12" i="2"/>
  <c r="G13" i="2"/>
  <c r="G14" i="2"/>
  <c r="G15" i="2"/>
  <c r="G16" i="2"/>
  <c r="G17" i="2"/>
  <c r="G2" i="2"/>
  <c r="H2" i="2" s="1"/>
  <c r="H17" i="2"/>
  <c r="H16" i="2"/>
  <c r="H15" i="2"/>
  <c r="H14" i="2"/>
  <c r="H13" i="2"/>
  <c r="H12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<sst xmlns="http://schemas.openxmlformats.org/spreadsheetml/2006/main" count="209" uniqueCount="182">
  <si>
    <t>Library</t>
  </si>
  <si>
    <t>OneWire</t>
  </si>
  <si>
    <t>Paul Stoffregen</t>
  </si>
  <si>
    <t>DallasTemperature</t>
  </si>
  <si>
    <t>Miles Burton</t>
  </si>
  <si>
    <t>HX711_ADC</t>
  </si>
  <si>
    <t>Olav Kallhovd</t>
  </si>
  <si>
    <t>Wire</t>
  </si>
  <si>
    <t>Adafruit ADS1X15</t>
  </si>
  <si>
    <t>Adafruit</t>
  </si>
  <si>
    <t>Adafruit TCS34725</t>
  </si>
  <si>
    <t>ModbusMaster</t>
  </si>
  <si>
    <t>4-20ma.io</t>
  </si>
  <si>
    <t>🧠 MCU</t>
  </si>
  <si>
    <t>🔌 Power</t>
  </si>
  <si>
    <t>💾 Data &amp; Time</t>
  </si>
  <si>
    <t>🔬 Sensors</t>
  </si>
  <si>
    <t>🎛️ Interface</t>
  </si>
  <si>
    <t>📤 I/O</t>
  </si>
  <si>
    <t>Arduino</t>
  </si>
  <si>
    <t>SPI</t>
  </si>
  <si>
    <t>SD</t>
  </si>
  <si>
    <t>RTClib</t>
  </si>
  <si>
    <t>WebServer</t>
  </si>
  <si>
    <t>12V Power Supply</t>
  </si>
  <si>
    <t>-</t>
  </si>
  <si>
    <t>Micro SD Card Module</t>
  </si>
  <si>
    <t>pH Module + Probe</t>
  </si>
  <si>
    <t>HX711 + Load Cell</t>
  </si>
  <si>
    <t>• IN+ ⬅️ 12V PSU (V+)</t>
  </si>
  <si>
    <t>• IN- ⬅️ 12V PSU (V-)</t>
  </si>
  <si>
    <t>• OUT- ➡️ COMMON GROUND</t>
  </si>
  <si>
    <t>ESP32 (Dev Kit)</t>
  </si>
  <si>
    <t>• VIN ⬅️ 5V BUS</t>
  </si>
  <si>
    <t>• GND ⬅️ COMMON GROUND</t>
  </si>
  <si>
    <t>• GPIO 18/19/23/5 ➡️ SD Card (SPI)</t>
  </si>
  <si>
    <t>• GPIO 16/17/2 ➡️ RS485</t>
  </si>
  <si>
    <t>NA019 (Logic Converter)</t>
  </si>
  <si>
    <t>• GND ⬅️ GND</t>
  </si>
  <si>
    <t>• VCC ⬅️ 5V BUS</t>
  </si>
  <si>
    <t>SPI, SD</t>
  </si>
  <si>
    <t>• CS ⬅️ GPIO 5</t>
  </si>
  <si>
    <t>• SCK ⬅️ GPIO 18</t>
  </si>
  <si>
    <t>• MISO ⬅️ GPIO 19</t>
  </si>
  <si>
    <t>• MOSI ⬅️ GPIO 23</t>
  </si>
  <si>
    <t>DS3231 (RTC)</t>
  </si>
  <si>
    <t>ADS1115 (ADC for pH)</t>
  </si>
  <si>
    <t>• SCL ⬅️ NA019 (HV1)</t>
  </si>
  <si>
    <t>• SDA ⬅️ NA019 (HV2)</t>
  </si>
  <si>
    <t>• A0 ⬅️ pH Module (PO)</t>
  </si>
  <si>
    <t>DS18B20 (Temp)</t>
  </si>
  <si>
    <t>• IN ⬅️ GPIO 13</t>
  </si>
  <si>
    <t>LM2596 #1 (System 5V)</t>
  </si>
  <si>
    <t>LM2596 #2 (Pump Flow)</t>
  </si>
  <si>
    <t>• GPIO 13 ➡️ Relay (Trigger)</t>
  </si>
  <si>
    <t>• GPIO 27/14/15 ➡️ Buttons</t>
  </si>
  <si>
    <t>• GPIO 25/26 ➡️ Load Cell</t>
  </si>
  <si>
    <t>• GPIO 4 ➡️ Temp Sensor</t>
  </si>
  <si>
    <t>• LV ⬅️ 3.3V BUS | GND ⬅️ GND</t>
  </si>
  <si>
    <t>• LV1 ⬅️ ESP32 (D33 SCL) | LV2 ⬅️ ESP32 (D32 SDA)</t>
  </si>
  <si>
    <t>• HV ⬅️ 5V BUS | GND ⬅️ GND</t>
  </si>
  <si>
    <t>• HV1 ➡️ ADS1115 (SCL) | HV2 ➡️ ADS1115 (SDA)</t>
  </si>
  <si>
    <t>MAX485 (RS485)</t>
  </si>
  <si>
    <t>• DI ⬅️ ESP32 (D17 TX2)</t>
  </si>
  <si>
    <t>• RO ➡️ ESP32 (D16 RX2)</t>
  </si>
  <si>
    <t>• DE/RE ⬅️ ESP32 (D2)</t>
  </si>
  <si>
    <t>• VCC ⬅️ 3.3V BUS, GND ⬅️ GND</t>
  </si>
  <si>
    <t>• SDA ⬅️ GPIO 32, SCL ⬅️ GPIO 33</t>
  </si>
  <si>
    <t>• VDD ⬅️ 5V BUS, GND ⬅️ GND</t>
  </si>
  <si>
    <t>• VCC ⬅️ 5V BUS, GND ⬅️ GND, PO ➡️ ADS1115(A0)</t>
  </si>
  <si>
    <t>HX711</t>
  </si>
  <si>
    <t>• VCC ⬅️ 5V BUS, GND ⬅️ GND</t>
  </si>
  <si>
    <t>• DT ➡️ GPIO 25, SCK ⬅️ GPIO 26</t>
  </si>
  <si>
    <t>TCS34725 (RGB)</t>
  </si>
  <si>
    <t>• VIN ⬅️ 3.3V BUS, GND ⬅️ GND</t>
  </si>
  <si>
    <t>• SDA ➡️ GPIO 32, SCL ⬅️ GPIO 33</t>
  </si>
  <si>
    <t>Relay Module (1 Channel)</t>
  </si>
  <si>
    <t>• COM ⬅️ LM2596 #2 (OUT+)</t>
  </si>
  <si>
    <t>• NO ➡️ Pump Red (+)</t>
  </si>
  <si>
    <t>Peristaltic Pump</t>
  </si>
  <si>
    <t>Buttons (x3)</t>
  </si>
  <si>
    <t>Start / Rinse / Rec</t>
  </si>
  <si>
    <t>Category</t>
  </si>
  <si>
    <t>Author</t>
  </si>
  <si>
    <t>Usage / Purpose</t>
  </si>
  <si>
    <t>Communication protocol for DS18B20</t>
  </si>
  <si>
    <t>Reading temperature data</t>
  </si>
  <si>
    <t>Reading Load Cell weight data</t>
  </si>
  <si>
    <t>I2C Communication (ESP32 Built-in)</t>
  </si>
  <si>
    <t>SPI Communication (ESP32 Built-in)</t>
  </si>
  <si>
    <t>SD Card file management</t>
  </si>
  <si>
    <t>Controlling ADS1115 (High prec. ADC for pH)</t>
  </si>
  <si>
    <t>Reading Color Sensor data</t>
  </si>
  <si>
    <t>Controlling DS3231/DS1307 RTC</t>
  </si>
  <si>
    <t>Communication with EC Sensor (RS485)</t>
  </si>
  <si>
    <t>Creating Web Interface (ESP32 Built-in)</t>
  </si>
  <si>
    <t>Component</t>
  </si>
  <si>
    <t>Wiring / Connections</t>
  </si>
  <si>
    <t>Note</t>
  </si>
  <si>
    <t>1. Power System</t>
  </si>
  <si>
    <t>• V+ (12V) ➡️ LM2596 #1 (IN+), LM2596 #2 (IN+), EC Sensor (Red)</t>
  </si>
  <si>
    <t>Main power source split 3 ways</t>
  </si>
  <si>
    <t>• V- (GND) ➡️ LM2596 #1 (IN-), LM2596 #2 (IN-), EC Sensor (Black), COMMON GROUND</t>
  </si>
  <si>
    <t>Step-down 12V to 5V for Board</t>
  </si>
  <si>
    <t>• OUT+ ➡️ 5V BUS (Powers ESP32, Relay Module, HX711, ADS1115)</t>
  </si>
  <si>
    <t>**DO NOT ADJUST (Lock at 5V)**</t>
  </si>
  <si>
    <t>**For Pump Speed Control (7.5V)**</t>
  </si>
  <si>
    <t>• OUT+ ➡️ Relay Module (COM Pin)</t>
  </si>
  <si>
    <t>Adjust voltage to change Flow Rate</t>
  </si>
  <si>
    <t>• OUT- ➡️ COMMON GROUND (or Pump Negative)</t>
  </si>
  <si>
    <t>2. Processing</t>
  </si>
  <si>
    <t>• 3.3V ➡️ 3.3V BUS (Powers SD, RTC, Color, Temp)</t>
  </si>
  <si>
    <t>• GPIO 32/33 ➡️ I2C Bus</t>
  </si>
  <si>
    <t>3. Interface</t>
  </si>
  <si>
    <t>[LV Side - 3.3V]</t>
  </si>
  <si>
    <t>I2C Level Shifting</t>
  </si>
  <si>
    <t>[HV Side - 5V]</t>
  </si>
  <si>
    <t>Signal Converter for EC</t>
  </si>
  <si>
    <t>• A, B ➡️ EC Sensor (Yellow/Blue wires)</t>
  </si>
  <si>
    <t>4. Data/Time</t>
  </si>
  <si>
    <t>• VCC ⬅️ 5V BUS (or 3.3V depending on module)</t>
  </si>
  <si>
    <t>Data Logging</t>
  </si>
  <si>
    <t>Real Time Clock</t>
  </si>
  <si>
    <t>5. Sensors</t>
  </si>
  <si>
    <t>High Precision Analog Read</t>
  </si>
  <si>
    <t>Weight Scale</t>
  </si>
  <si>
    <t>Color Sensor</t>
  </si>
  <si>
    <t>Temperature Sensor</t>
  </si>
  <si>
    <t>• DATA ➡️ GPIO 4 (Requires 4.7k Pull-up Resistor)</t>
  </si>
  <si>
    <t>6. Pump Control</t>
  </si>
  <si>
    <t>[Control Side - To ESP32]</t>
  </si>
  <si>
    <t>Switch Pump ON/OFF</t>
  </si>
  <si>
    <t>[High Power Side - Pump Power]</t>
  </si>
  <si>
    <t>**Power from Buck #2**</t>
  </si>
  <si>
    <t>Connects power when ON</t>
  </si>
  <si>
    <t>• Red Wire (+) ⬅️ Relay NO</t>
  </si>
  <si>
    <t>Pump (Running at ~7.5V)</t>
  </si>
  <si>
    <t>• Black Wire (-) ➡️ COMMON GROUND</t>
  </si>
  <si>
    <t>7. Buttons</t>
  </si>
  <si>
    <t>• Pin 1 ➡️ GPIO 27 / 14 / 15</t>
  </si>
  <si>
    <t>• Pin 2 ➡️ GND</t>
  </si>
  <si>
    <t>Item No.</t>
  </si>
  <si>
    <t>Description</t>
  </si>
  <si>
    <t>Qty</t>
  </si>
  <si>
    <t>Unit Cost (USD)</t>
  </si>
  <si>
    <t>Cost (USD)</t>
  </si>
  <si>
    <t>Product Code</t>
  </si>
  <si>
    <t>LM2596-ADJ</t>
  </si>
  <si>
    <t>SD-TF-SPI</t>
  </si>
  <si>
    <t>DS3231-RTC</t>
  </si>
  <si>
    <t>HX711-200G-KIT</t>
  </si>
  <si>
    <t>SEN0161-PH</t>
  </si>
  <si>
    <t>DS18B20-WP</t>
  </si>
  <si>
    <t>TCS34725-RGB</t>
  </si>
  <si>
    <t>EC-RS485-IND</t>
  </si>
  <si>
    <t>MAX485-TTL</t>
  </si>
  <si>
    <t>LLC-4CH-I2C</t>
  </si>
  <si>
    <t>ADS1115-I2C</t>
  </si>
  <si>
    <t>RELAY-5V-1CH</t>
  </si>
  <si>
    <t>BTN-TACT-12MM</t>
  </si>
  <si>
    <t>PUMP-PERIST-12V</t>
  </si>
  <si>
    <t>TOTAL:</t>
  </si>
  <si>
    <t>Unit Cost (THB)</t>
  </si>
  <si>
    <t>ESP-WROOM-32</t>
  </si>
  <si>
    <t>PS-12V-5A-Mini</t>
  </si>
  <si>
    <t>Miscellaneous</t>
  </si>
  <si>
    <t>ESP32 (38 Pin Dev Kit recommended)</t>
  </si>
  <si>
    <t>12V 5A Mini Power Supply Switching (Main Source)</t>
  </si>
  <si>
    <t>Micro SD Card Module (SPI Interface)</t>
  </si>
  <si>
    <t>Load Cell + HX711 (200g)</t>
  </si>
  <si>
    <t>pH Probe + Module (Analog Out)</t>
  </si>
  <si>
    <t>TCS34725 (Color RGB)</t>
  </si>
  <si>
    <t>EC Probe (Industrial Type: Red/Yel/Blk/Wht wires) bundled with RS485-XMTR</t>
  </si>
  <si>
    <t>MAX485 Module (TTL to RS485 for ESP32)</t>
  </si>
  <si>
    <t>I2C Logic Level Converter Bi-Directional Module 5V to 3.3V</t>
  </si>
  <si>
    <t>I2C ADC 4 Channel 16-Bit with Programmable Gain Amplifier Module</t>
  </si>
  <si>
    <t>Relay Module (5V Active High/Low)</t>
  </si>
  <si>
    <t>Push Buttons (3 units)</t>
  </si>
  <si>
    <t>Peristaltic Pump (12V DC running at ~7.5V via Buck #2)</t>
  </si>
  <si>
    <t>System Power (ESP32 &amp; Sensors) and Pump Flow Control</t>
  </si>
  <si>
    <t>RTC Module (I2C Interface)</t>
  </si>
  <si>
    <t>Temperature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</si>
</sst>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6" xfId="0" applyFont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/>
    <xf numFmtId="0" fontId="2" fillId="0" borderId="7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right"/>
    </xf>
    <xf numFmtId="164" fontId="3" fillId="6" borderId="7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Arial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C14D83E-1913-47AB-BC24-55AB40FA34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A2308-9345-41A3-AC0E-EBB9B447967A}" name="Table3" displayName="Table3" ref="A1:E63" totalsRowShown="0" headerRowDxfId="27" dataDxfId="26">
  <autoFilter ref="A1:E63" xr:uid="{1A8A2308-9345-41A3-AC0E-EBB9B447967A}"/>
  <tableColumns count="5">
    <tableColumn id="1" xr3:uid="{AA563DC8-0A76-4B4D-887F-32E4B2CF56E4}" name="Category" dataDxfId="25"/>
    <tableColumn id="2" xr3:uid="{AF0E4AA1-5C7B-475F-8FB2-44504E2F70FC}" name="Component" dataDxfId="24"/>
    <tableColumn id="3" xr3:uid="{139B0345-3187-4B84-968B-D0DF3478A0AF}" name="Library" dataDxfId="23"/>
    <tableColumn id="4" xr3:uid="{DF822114-909A-48AB-B867-228D0A48454C}" name="Wiring / Connections" dataDxfId="22"/>
    <tableColumn id="5" xr3:uid="{AC2DFE29-A92C-4710-82C7-C43E470C0829}" name="Note" dataDxfId="21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8769F-C595-4601-B9CD-5E457665CA5A}" name="Table1" displayName="Table1" ref="A1:H19" totalsRowShown="0" headerRowDxfId="1" dataDxfId="12" headerRowBorderDxfId="10" tableBorderDxfId="11" totalsRowBorderDxfId="9">
  <autoFilter ref="A1:H19" xr:uid="{2D28769F-C595-4601-B9CD-5E457665CA5A}"/>
  <tableColumns count="8">
    <tableColumn id="3" xr3:uid="{B1AE3089-CDBE-4174-9883-13DF4B52247B}" name="Item No." dataDxfId="8"/>
    <tableColumn id="4" xr3:uid="{CFEA63D1-6A67-4A0E-BE64-0C66903BEBE6}" name="Product Code" dataDxfId="7"/>
    <tableColumn id="1" xr3:uid="{65C13170-AB3D-4C28-9440-65D679FC4DB4}" name="Category" dataDxfId="6"/>
    <tableColumn id="2" xr3:uid="{02941203-D1DA-4BE8-91AC-42534669E561}" name="Description" dataDxfId="5"/>
    <tableColumn id="5" xr3:uid="{A718F0C8-554A-489B-9F57-5BE96E94D65C}" name="Qty" dataDxfId="4"/>
    <tableColumn id="8" xr3:uid="{F110D559-7EC9-4360-93AE-2D160DCC3796}" name="Unit Cost (THB)" dataDxfId="0"/>
    <tableColumn id="6" xr3:uid="{7943D64C-589B-4324-8170-1AC23B0B0027}" name="Unit Cost (USD)" dataDxfId="3"/>
    <tableColumn id="7" xr3:uid="{4F5C3C9A-FE00-4F9F-995D-17C3766D6B83}" name="Cost (USD)" dataDxfId="2">
      <calculatedColumnFormula>E2*G2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FE923-AB8B-4ABD-B3DE-930F473DF2A0}" name="Table2" displayName="Table2" ref="A1:C12" totalsRowShown="0" headerRowDxfId="20" dataDxfId="18" headerRowBorderDxfId="19" tableBorderDxfId="17" totalsRowBorderDxfId="16">
  <autoFilter ref="A1:C12" xr:uid="{A6BFE923-AB8B-4ABD-B3DE-930F473DF2A0}"/>
  <tableColumns count="3">
    <tableColumn id="1" xr3:uid="{34812C27-0C6A-4ED2-8F96-BEF6D12B6CED}" name="Library" dataDxfId="15"/>
    <tableColumn id="2" xr3:uid="{ED18C383-ADB1-4D4F-895C-2CD25A8AE484}" name="Author" dataDxfId="14"/>
    <tableColumn id="3" xr3:uid="{EE78F461-9D64-42EF-A51B-C812CCAF7F00}" name="Usage / Purpose" dataDxfId="1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3"/>
  <sheetViews>
    <sheetView topLeftCell="B1" zoomScale="80" zoomScaleNormal="80" workbookViewId="0">
      <selection activeCell="D91" sqref="D91"/>
    </sheetView>
  </sheetViews>
  <sheetFormatPr defaultColWidth="12.6328125" defaultRowHeight="14" x14ac:dyDescent="0.3"/>
  <cols>
    <col min="1" max="1" width="25.453125" style="1" customWidth="1"/>
    <col min="2" max="2" width="23.81640625" style="1" bestFit="1" customWidth="1"/>
    <col min="3" max="3" width="19.81640625" style="1" bestFit="1" customWidth="1"/>
    <col min="4" max="4" width="86" style="1" bestFit="1" customWidth="1"/>
    <col min="5" max="5" width="33.36328125" style="1" bestFit="1" customWidth="1"/>
    <col min="6" max="16384" width="12.6328125" style="1"/>
  </cols>
  <sheetData>
    <row r="1" spans="1:5" x14ac:dyDescent="0.3">
      <c r="A1" s="10" t="s">
        <v>82</v>
      </c>
      <c r="B1" s="10" t="s">
        <v>96</v>
      </c>
      <c r="C1" s="10" t="s">
        <v>0</v>
      </c>
      <c r="D1" s="10" t="s">
        <v>97</v>
      </c>
      <c r="E1" s="10" t="s">
        <v>98</v>
      </c>
    </row>
    <row r="2" spans="1:5" x14ac:dyDescent="0.3">
      <c r="A2" s="1" t="s">
        <v>99</v>
      </c>
      <c r="B2" s="1" t="s">
        <v>24</v>
      </c>
      <c r="C2" s="1" t="s">
        <v>25</v>
      </c>
      <c r="D2" s="1" t="s">
        <v>100</v>
      </c>
      <c r="E2" s="1" t="s">
        <v>101</v>
      </c>
    </row>
    <row r="3" spans="1:5" x14ac:dyDescent="0.3">
      <c r="D3" s="1" t="s">
        <v>102</v>
      </c>
    </row>
    <row r="4" spans="1:5" x14ac:dyDescent="0.3">
      <c r="B4" s="1" t="s">
        <v>52</v>
      </c>
      <c r="C4" s="1" t="s">
        <v>25</v>
      </c>
      <c r="D4" s="1" t="s">
        <v>29</v>
      </c>
      <c r="E4" s="1" t="s">
        <v>103</v>
      </c>
    </row>
    <row r="5" spans="1:5" x14ac:dyDescent="0.3">
      <c r="D5" s="1" t="s">
        <v>30</v>
      </c>
    </row>
    <row r="6" spans="1:5" x14ac:dyDescent="0.3">
      <c r="D6" s="1" t="s">
        <v>104</v>
      </c>
      <c r="E6" s="1" t="s">
        <v>105</v>
      </c>
    </row>
    <row r="7" spans="1:5" x14ac:dyDescent="0.3">
      <c r="D7" s="1" t="s">
        <v>31</v>
      </c>
    </row>
    <row r="8" spans="1:5" x14ac:dyDescent="0.3">
      <c r="B8" s="1" t="s">
        <v>53</v>
      </c>
      <c r="C8" s="1" t="s">
        <v>25</v>
      </c>
      <c r="D8" s="1" t="s">
        <v>29</v>
      </c>
      <c r="E8" s="1" t="s">
        <v>106</v>
      </c>
    </row>
    <row r="9" spans="1:5" x14ac:dyDescent="0.3">
      <c r="D9" s="1" t="s">
        <v>30</v>
      </c>
    </row>
    <row r="10" spans="1:5" x14ac:dyDescent="0.3">
      <c r="D10" s="1" t="s">
        <v>107</v>
      </c>
      <c r="E10" s="1" t="s">
        <v>108</v>
      </c>
    </row>
    <row r="11" spans="1:5" x14ac:dyDescent="0.3">
      <c r="D11" s="1" t="s">
        <v>109</v>
      </c>
    </row>
    <row r="12" spans="1:5" x14ac:dyDescent="0.3">
      <c r="A12" s="1" t="s">
        <v>110</v>
      </c>
      <c r="B12" s="1" t="s">
        <v>32</v>
      </c>
      <c r="C12" s="1" t="s">
        <v>25</v>
      </c>
      <c r="D12" s="1" t="s">
        <v>33</v>
      </c>
    </row>
    <row r="13" spans="1:5" x14ac:dyDescent="0.3">
      <c r="D13" s="1" t="s">
        <v>34</v>
      </c>
    </row>
    <row r="14" spans="1:5" ht="13" customHeight="1" x14ac:dyDescent="0.3">
      <c r="D14" s="1" t="s">
        <v>111</v>
      </c>
    </row>
    <row r="15" spans="1:5" x14ac:dyDescent="0.3">
      <c r="D15" s="1" t="s">
        <v>112</v>
      </c>
    </row>
    <row r="16" spans="1:5" x14ac:dyDescent="0.3">
      <c r="D16" s="1" t="s">
        <v>35</v>
      </c>
    </row>
    <row r="17" spans="1:5" x14ac:dyDescent="0.3">
      <c r="D17" s="1" t="s">
        <v>36</v>
      </c>
    </row>
    <row r="18" spans="1:5" x14ac:dyDescent="0.3">
      <c r="D18" s="1" t="s">
        <v>54</v>
      </c>
    </row>
    <row r="19" spans="1:5" x14ac:dyDescent="0.3">
      <c r="D19" s="1" t="s">
        <v>55</v>
      </c>
    </row>
    <row r="20" spans="1:5" x14ac:dyDescent="0.3">
      <c r="D20" s="1" t="s">
        <v>56</v>
      </c>
    </row>
    <row r="21" spans="1:5" x14ac:dyDescent="0.3">
      <c r="D21" s="1" t="s">
        <v>57</v>
      </c>
    </row>
    <row r="22" spans="1:5" x14ac:dyDescent="0.3">
      <c r="A22" s="1" t="s">
        <v>113</v>
      </c>
      <c r="B22" s="13" t="s">
        <v>37</v>
      </c>
      <c r="C22" s="1" t="s">
        <v>25</v>
      </c>
      <c r="D22" s="1" t="s">
        <v>114</v>
      </c>
      <c r="E22" s="1" t="s">
        <v>115</v>
      </c>
    </row>
    <row r="23" spans="1:5" x14ac:dyDescent="0.3">
      <c r="D23" s="1" t="s">
        <v>58</v>
      </c>
    </row>
    <row r="24" spans="1:5" x14ac:dyDescent="0.3">
      <c r="D24" s="1" t="s">
        <v>59</v>
      </c>
    </row>
    <row r="25" spans="1:5" x14ac:dyDescent="0.3">
      <c r="D25" s="1" t="s">
        <v>116</v>
      </c>
    </row>
    <row r="26" spans="1:5" x14ac:dyDescent="0.3">
      <c r="D26" s="1" t="s">
        <v>60</v>
      </c>
    </row>
    <row r="27" spans="1:5" x14ac:dyDescent="0.3">
      <c r="D27" s="1" t="s">
        <v>61</v>
      </c>
    </row>
    <row r="28" spans="1:5" x14ac:dyDescent="0.3">
      <c r="B28" s="1" t="s">
        <v>62</v>
      </c>
      <c r="C28" s="1" t="s">
        <v>11</v>
      </c>
      <c r="D28" s="1" t="s">
        <v>39</v>
      </c>
      <c r="E28" s="1" t="s">
        <v>117</v>
      </c>
    </row>
    <row r="29" spans="1:5" x14ac:dyDescent="0.3">
      <c r="D29" s="1" t="s">
        <v>38</v>
      </c>
    </row>
    <row r="30" spans="1:5" x14ac:dyDescent="0.3">
      <c r="D30" s="1" t="s">
        <v>63</v>
      </c>
    </row>
    <row r="31" spans="1:5" x14ac:dyDescent="0.3">
      <c r="D31" s="1" t="s">
        <v>64</v>
      </c>
    </row>
    <row r="32" spans="1:5" x14ac:dyDescent="0.3">
      <c r="D32" s="1" t="s">
        <v>65</v>
      </c>
    </row>
    <row r="33" spans="1:5" x14ac:dyDescent="0.3">
      <c r="D33" s="12" t="s">
        <v>118</v>
      </c>
    </row>
    <row r="34" spans="1:5" x14ac:dyDescent="0.3">
      <c r="A34" s="1" t="s">
        <v>119</v>
      </c>
      <c r="B34" s="1" t="s">
        <v>26</v>
      </c>
      <c r="C34" s="1" t="s">
        <v>40</v>
      </c>
      <c r="D34" s="1" t="s">
        <v>120</v>
      </c>
      <c r="E34" s="1" t="s">
        <v>121</v>
      </c>
    </row>
    <row r="35" spans="1:5" x14ac:dyDescent="0.3">
      <c r="D35" s="1" t="s">
        <v>38</v>
      </c>
    </row>
    <row r="36" spans="1:5" x14ac:dyDescent="0.3">
      <c r="D36" s="1" t="s">
        <v>41</v>
      </c>
    </row>
    <row r="37" spans="1:5" x14ac:dyDescent="0.3">
      <c r="D37" s="1" t="s">
        <v>42</v>
      </c>
    </row>
    <row r="38" spans="1:5" x14ac:dyDescent="0.3">
      <c r="D38" s="1" t="s">
        <v>43</v>
      </c>
    </row>
    <row r="39" spans="1:5" x14ac:dyDescent="0.3">
      <c r="B39" s="11"/>
      <c r="C39" s="11"/>
      <c r="D39" s="1" t="s">
        <v>44</v>
      </c>
    </row>
    <row r="40" spans="1:5" x14ac:dyDescent="0.3">
      <c r="B40" s="1" t="s">
        <v>45</v>
      </c>
      <c r="C40" s="1" t="s">
        <v>22</v>
      </c>
      <c r="D40" s="1" t="s">
        <v>66</v>
      </c>
      <c r="E40" s="1" t="s">
        <v>122</v>
      </c>
    </row>
    <row r="41" spans="1:5" x14ac:dyDescent="0.3">
      <c r="D41" s="1" t="s">
        <v>67</v>
      </c>
    </row>
    <row r="42" spans="1:5" x14ac:dyDescent="0.3">
      <c r="A42" s="1" t="s">
        <v>123</v>
      </c>
      <c r="B42" s="13" t="s">
        <v>46</v>
      </c>
      <c r="C42" s="1" t="s">
        <v>8</v>
      </c>
      <c r="D42" s="1" t="s">
        <v>68</v>
      </c>
      <c r="E42" s="1" t="s">
        <v>124</v>
      </c>
    </row>
    <row r="43" spans="1:5" x14ac:dyDescent="0.3">
      <c r="D43" s="1" t="s">
        <v>47</v>
      </c>
    </row>
    <row r="44" spans="1:5" x14ac:dyDescent="0.3">
      <c r="D44" s="1" t="s">
        <v>48</v>
      </c>
    </row>
    <row r="45" spans="1:5" x14ac:dyDescent="0.3">
      <c r="D45" s="1" t="s">
        <v>49</v>
      </c>
    </row>
    <row r="46" spans="1:5" x14ac:dyDescent="0.3">
      <c r="B46" s="1" t="s">
        <v>27</v>
      </c>
      <c r="C46" s="1" t="s">
        <v>25</v>
      </c>
      <c r="D46" s="1" t="s">
        <v>69</v>
      </c>
    </row>
    <row r="47" spans="1:5" x14ac:dyDescent="0.3">
      <c r="B47" s="1" t="s">
        <v>28</v>
      </c>
      <c r="C47" s="1" t="s">
        <v>70</v>
      </c>
      <c r="D47" s="1" t="s">
        <v>71</v>
      </c>
      <c r="E47" s="1" t="s">
        <v>125</v>
      </c>
    </row>
    <row r="48" spans="1:5" x14ac:dyDescent="0.3">
      <c r="D48" s="1" t="s">
        <v>72</v>
      </c>
    </row>
    <row r="49" spans="1:5" x14ac:dyDescent="0.3">
      <c r="B49" s="1" t="s">
        <v>73</v>
      </c>
      <c r="C49" s="1" t="s">
        <v>10</v>
      </c>
      <c r="D49" s="1" t="s">
        <v>74</v>
      </c>
      <c r="E49" s="1" t="s">
        <v>126</v>
      </c>
    </row>
    <row r="50" spans="1:5" x14ac:dyDescent="0.3">
      <c r="D50" s="1" t="s">
        <v>75</v>
      </c>
    </row>
    <row r="51" spans="1:5" x14ac:dyDescent="0.3">
      <c r="B51" s="1" t="s">
        <v>50</v>
      </c>
      <c r="C51" s="1" t="s">
        <v>3</v>
      </c>
      <c r="D51" s="1" t="s">
        <v>66</v>
      </c>
      <c r="E51" s="1" t="s">
        <v>127</v>
      </c>
    </row>
    <row r="52" spans="1:5" x14ac:dyDescent="0.3">
      <c r="D52" s="1" t="s">
        <v>128</v>
      </c>
    </row>
    <row r="53" spans="1:5" x14ac:dyDescent="0.3">
      <c r="A53" s="1" t="s">
        <v>129</v>
      </c>
      <c r="B53" s="1" t="s">
        <v>76</v>
      </c>
      <c r="C53" s="1" t="s">
        <v>25</v>
      </c>
      <c r="D53" s="1" t="s">
        <v>130</v>
      </c>
      <c r="E53" s="1" t="s">
        <v>131</v>
      </c>
    </row>
    <row r="54" spans="1:5" x14ac:dyDescent="0.3">
      <c r="D54" s="1" t="s">
        <v>39</v>
      </c>
    </row>
    <row r="55" spans="1:5" x14ac:dyDescent="0.3">
      <c r="D55" s="1" t="s">
        <v>38</v>
      </c>
    </row>
    <row r="56" spans="1:5" x14ac:dyDescent="0.3">
      <c r="D56" s="1" t="s">
        <v>51</v>
      </c>
    </row>
    <row r="57" spans="1:5" x14ac:dyDescent="0.3">
      <c r="D57" s="1" t="s">
        <v>132</v>
      </c>
    </row>
    <row r="58" spans="1:5" x14ac:dyDescent="0.3">
      <c r="D58" s="1" t="s">
        <v>77</v>
      </c>
      <c r="E58" s="1" t="s">
        <v>133</v>
      </c>
    </row>
    <row r="59" spans="1:5" x14ac:dyDescent="0.3">
      <c r="D59" s="1" t="s">
        <v>78</v>
      </c>
      <c r="E59" s="1" t="s">
        <v>134</v>
      </c>
    </row>
    <row r="60" spans="1:5" x14ac:dyDescent="0.3">
      <c r="B60" s="1" t="s">
        <v>79</v>
      </c>
      <c r="C60" s="1" t="s">
        <v>25</v>
      </c>
      <c r="D60" s="1" t="s">
        <v>135</v>
      </c>
      <c r="E60" s="1" t="s">
        <v>136</v>
      </c>
    </row>
    <row r="61" spans="1:5" x14ac:dyDescent="0.3">
      <c r="D61" s="1" t="s">
        <v>137</v>
      </c>
    </row>
    <row r="62" spans="1:5" x14ac:dyDescent="0.3">
      <c r="A62" s="1" t="s">
        <v>138</v>
      </c>
      <c r="B62" s="1" t="s">
        <v>80</v>
      </c>
      <c r="C62" s="1" t="s">
        <v>25</v>
      </c>
      <c r="D62" s="1" t="s">
        <v>139</v>
      </c>
      <c r="E62" s="1" t="s">
        <v>81</v>
      </c>
    </row>
    <row r="63" spans="1:5" x14ac:dyDescent="0.3">
      <c r="D63" s="1" t="s">
        <v>140</v>
      </c>
    </row>
    <row r="65" spans="2:3" x14ac:dyDescent="0.3">
      <c r="B65" s="11"/>
      <c r="C65" s="11"/>
    </row>
    <row r="66" spans="2:3" x14ac:dyDescent="0.3">
      <c r="B66" s="11"/>
      <c r="C66" s="11"/>
    </row>
    <row r="67" spans="2:3" x14ac:dyDescent="0.3">
      <c r="B67" s="11"/>
      <c r="C67" s="11"/>
    </row>
    <row r="68" spans="2:3" x14ac:dyDescent="0.3">
      <c r="B68" s="11"/>
      <c r="C68" s="11"/>
    </row>
    <row r="69" spans="2:3" x14ac:dyDescent="0.3">
      <c r="B69" s="11"/>
      <c r="C69" s="11"/>
    </row>
    <row r="70" spans="2:3" x14ac:dyDescent="0.3">
      <c r="B70" s="11"/>
      <c r="C70" s="11"/>
    </row>
    <row r="71" spans="2:3" x14ac:dyDescent="0.3">
      <c r="B71" s="11"/>
      <c r="C71" s="11"/>
    </row>
    <row r="72" spans="2:3" x14ac:dyDescent="0.3">
      <c r="B72" s="11"/>
      <c r="C72" s="11"/>
    </row>
    <row r="73" spans="2:3" x14ac:dyDescent="0.3">
      <c r="B73" s="11"/>
      <c r="C73" s="11"/>
    </row>
  </sheetData>
  <phoneticPr fontId="4" type="noConversion"/>
  <pageMargins left="0.25" right="0.25" top="0.25" bottom="0.25" header="0.3" footer="0.3"/>
  <pageSetup paperSize="9" scale="90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BE7B-6DEB-4F99-8669-E8F78C90F7EE}">
  <dimension ref="A1:H19"/>
  <sheetViews>
    <sheetView tabSelected="1" zoomScaleNormal="100" workbookViewId="0">
      <selection activeCell="D23" sqref="D23"/>
    </sheetView>
  </sheetViews>
  <sheetFormatPr defaultColWidth="8.81640625" defaultRowHeight="14" x14ac:dyDescent="0.3"/>
  <cols>
    <col min="1" max="1" width="13" style="1" bestFit="1" customWidth="1"/>
    <col min="2" max="2" width="20.90625" style="1" bestFit="1" customWidth="1"/>
    <col min="3" max="3" width="15.26953125" style="1" hidden="1" customWidth="1"/>
    <col min="4" max="4" width="72.6328125" style="1" bestFit="1" customWidth="1"/>
    <col min="5" max="5" width="8.54296875" style="1" bestFit="1" customWidth="1"/>
    <col min="6" max="6" width="20.1796875" style="1" bestFit="1" customWidth="1"/>
    <col min="7" max="7" width="23.36328125" style="1" customWidth="1"/>
    <col min="8" max="8" width="15.81640625" style="1" bestFit="1" customWidth="1"/>
    <col min="9" max="16384" width="8.81640625" style="1"/>
  </cols>
  <sheetData>
    <row r="1" spans="1:8" x14ac:dyDescent="0.3">
      <c r="A1" s="14" t="s">
        <v>141</v>
      </c>
      <c r="B1" s="16" t="s">
        <v>146</v>
      </c>
      <c r="C1" s="16" t="s">
        <v>82</v>
      </c>
      <c r="D1" s="16" t="s">
        <v>142</v>
      </c>
      <c r="E1" s="16" t="s">
        <v>143</v>
      </c>
      <c r="F1" s="16" t="s">
        <v>162</v>
      </c>
      <c r="G1" s="16" t="s">
        <v>144</v>
      </c>
      <c r="H1" s="15" t="s">
        <v>145</v>
      </c>
    </row>
    <row r="2" spans="1:8" x14ac:dyDescent="0.3">
      <c r="A2" s="17">
        <v>1</v>
      </c>
      <c r="B2" s="27" t="s">
        <v>163</v>
      </c>
      <c r="C2" s="19" t="s">
        <v>13</v>
      </c>
      <c r="D2" s="19" t="s">
        <v>166</v>
      </c>
      <c r="E2" s="18">
        <v>1</v>
      </c>
      <c r="F2" s="29">
        <v>194</v>
      </c>
      <c r="G2" s="20">
        <f>Table1[[#This Row],[Unit Cost (THB)]]/32.43</f>
        <v>5.982115325316065</v>
      </c>
      <c r="H2" s="21">
        <f>E2*G2</f>
        <v>5.982115325316065</v>
      </c>
    </row>
    <row r="3" spans="1:8" x14ac:dyDescent="0.3">
      <c r="A3" s="17">
        <v>2</v>
      </c>
      <c r="B3" s="18" t="s">
        <v>164</v>
      </c>
      <c r="C3" s="19" t="s">
        <v>14</v>
      </c>
      <c r="D3" s="19" t="s">
        <v>167</v>
      </c>
      <c r="E3" s="18">
        <v>1</v>
      </c>
      <c r="F3" s="29">
        <v>130</v>
      </c>
      <c r="G3" s="20">
        <f>Table1[[#This Row],[Unit Cost (THB)]]/32.43</f>
        <v>4.0086339808818998</v>
      </c>
      <c r="H3" s="21">
        <f>E3*G3</f>
        <v>4.0086339808818998</v>
      </c>
    </row>
    <row r="4" spans="1:8" x14ac:dyDescent="0.3">
      <c r="A4" s="17">
        <v>3</v>
      </c>
      <c r="B4" s="18" t="s">
        <v>147</v>
      </c>
      <c r="C4" s="19"/>
      <c r="D4" s="19" t="s">
        <v>179</v>
      </c>
      <c r="E4" s="18">
        <v>2</v>
      </c>
      <c r="F4" s="29">
        <v>40</v>
      </c>
      <c r="G4" s="20">
        <f>Table1[[#This Row],[Unit Cost (THB)]]/32.43</f>
        <v>1.2334258402713536</v>
      </c>
      <c r="H4" s="21">
        <f>E4*G4</f>
        <v>2.4668516805427072</v>
      </c>
    </row>
    <row r="5" spans="1:8" x14ac:dyDescent="0.3">
      <c r="A5" s="17">
        <v>4</v>
      </c>
      <c r="B5" s="18" t="s">
        <v>148</v>
      </c>
      <c r="C5" s="19" t="s">
        <v>15</v>
      </c>
      <c r="D5" s="19" t="s">
        <v>168</v>
      </c>
      <c r="E5" s="18">
        <v>1</v>
      </c>
      <c r="F5" s="29">
        <v>17</v>
      </c>
      <c r="G5" s="20">
        <f>Table1[[#This Row],[Unit Cost (THB)]]/32.43</f>
        <v>0.52420598211532532</v>
      </c>
      <c r="H5" s="21">
        <f>E5*G5</f>
        <v>0.52420598211532532</v>
      </c>
    </row>
    <row r="6" spans="1:8" x14ac:dyDescent="0.3">
      <c r="A6" s="17">
        <v>5</v>
      </c>
      <c r="B6" s="18" t="s">
        <v>149</v>
      </c>
      <c r="C6" s="19"/>
      <c r="D6" s="19" t="s">
        <v>180</v>
      </c>
      <c r="E6" s="18">
        <v>1</v>
      </c>
      <c r="F6" s="29">
        <v>60</v>
      </c>
      <c r="G6" s="20">
        <f>Table1[[#This Row],[Unit Cost (THB)]]/32.43</f>
        <v>1.8501387604070305</v>
      </c>
      <c r="H6" s="21">
        <f>E6*G6</f>
        <v>1.8501387604070305</v>
      </c>
    </row>
    <row r="7" spans="1:8" x14ac:dyDescent="0.3">
      <c r="A7" s="17">
        <v>6</v>
      </c>
      <c r="B7" s="18" t="s">
        <v>150</v>
      </c>
      <c r="C7" s="19" t="s">
        <v>16</v>
      </c>
      <c r="D7" s="19" t="s">
        <v>169</v>
      </c>
      <c r="E7" s="18">
        <v>1</v>
      </c>
      <c r="F7" s="29">
        <v>265</v>
      </c>
      <c r="G7" s="20">
        <f>Table1[[#This Row],[Unit Cost (THB)]]/32.43</f>
        <v>8.1714461917977186</v>
      </c>
      <c r="H7" s="21">
        <f>E7*G7</f>
        <v>8.1714461917977186</v>
      </c>
    </row>
    <row r="8" spans="1:8" x14ac:dyDescent="0.3">
      <c r="A8" s="17">
        <v>7</v>
      </c>
      <c r="B8" s="18" t="s">
        <v>151</v>
      </c>
      <c r="C8" s="19"/>
      <c r="D8" s="19" t="s">
        <v>170</v>
      </c>
      <c r="E8" s="18">
        <v>1</v>
      </c>
      <c r="F8" s="29">
        <v>278</v>
      </c>
      <c r="G8" s="20">
        <f>Table1[[#This Row],[Unit Cost (THB)]]/32.43</f>
        <v>8.5723095898859079</v>
      </c>
      <c r="H8" s="21">
        <f>E8*G8</f>
        <v>8.5723095898859079</v>
      </c>
    </row>
    <row r="9" spans="1:8" x14ac:dyDescent="0.3">
      <c r="A9" s="17">
        <v>8</v>
      </c>
      <c r="B9" s="18" t="s">
        <v>152</v>
      </c>
      <c r="C9" s="19"/>
      <c r="D9" s="19" t="s">
        <v>181</v>
      </c>
      <c r="E9" s="18">
        <v>1</v>
      </c>
      <c r="F9" s="29">
        <v>48</v>
      </c>
      <c r="G9" s="20">
        <f>Table1[[#This Row],[Unit Cost (THB)]]/32.43</f>
        <v>1.4801110083256244</v>
      </c>
      <c r="H9" s="21">
        <f>E9*G9</f>
        <v>1.4801110083256244</v>
      </c>
    </row>
    <row r="10" spans="1:8" x14ac:dyDescent="0.3">
      <c r="A10" s="17">
        <v>9</v>
      </c>
      <c r="B10" s="18" t="s">
        <v>153</v>
      </c>
      <c r="C10" s="19"/>
      <c r="D10" s="19" t="s">
        <v>171</v>
      </c>
      <c r="E10" s="18">
        <v>1</v>
      </c>
      <c r="F10" s="29">
        <v>120</v>
      </c>
      <c r="G10" s="20">
        <f>Table1[[#This Row],[Unit Cost (THB)]]/32.43</f>
        <v>3.700277520814061</v>
      </c>
      <c r="H10" s="21">
        <f>E10*G10</f>
        <v>3.700277520814061</v>
      </c>
    </row>
    <row r="11" spans="1:8" x14ac:dyDescent="0.3">
      <c r="A11" s="17">
        <v>10</v>
      </c>
      <c r="B11" s="18" t="s">
        <v>154</v>
      </c>
      <c r="C11" s="19"/>
      <c r="D11" s="19" t="s">
        <v>172</v>
      </c>
      <c r="E11" s="18">
        <v>1</v>
      </c>
      <c r="F11" s="29">
        <v>2852</v>
      </c>
      <c r="G11" s="20">
        <f>Table1[[#This Row],[Unit Cost (THB)]]/32.43</f>
        <v>87.943262411347519</v>
      </c>
      <c r="H11" s="21">
        <f>E11*G11</f>
        <v>87.943262411347519</v>
      </c>
    </row>
    <row r="12" spans="1:8" x14ac:dyDescent="0.3">
      <c r="A12" s="17">
        <v>11</v>
      </c>
      <c r="B12" s="18" t="s">
        <v>155</v>
      </c>
      <c r="C12" s="19" t="s">
        <v>17</v>
      </c>
      <c r="D12" s="19" t="s">
        <v>173</v>
      </c>
      <c r="E12" s="18">
        <v>1</v>
      </c>
      <c r="F12" s="29">
        <v>15</v>
      </c>
      <c r="G12" s="20">
        <f>Table1[[#This Row],[Unit Cost (THB)]]/32.43</f>
        <v>0.46253469010175763</v>
      </c>
      <c r="H12" s="21">
        <f>E12*G12</f>
        <v>0.46253469010175763</v>
      </c>
    </row>
    <row r="13" spans="1:8" x14ac:dyDescent="0.3">
      <c r="A13" s="17">
        <v>12</v>
      </c>
      <c r="B13" s="18" t="s">
        <v>156</v>
      </c>
      <c r="C13" s="19"/>
      <c r="D13" s="19" t="s">
        <v>174</v>
      </c>
      <c r="E13" s="18">
        <v>1</v>
      </c>
      <c r="F13" s="29">
        <v>29</v>
      </c>
      <c r="G13" s="20">
        <f>Table1[[#This Row],[Unit Cost (THB)]]/32.43</f>
        <v>0.89423373419673147</v>
      </c>
      <c r="H13" s="21">
        <f>E13*G13</f>
        <v>0.89423373419673147</v>
      </c>
    </row>
    <row r="14" spans="1:8" x14ac:dyDescent="0.3">
      <c r="A14" s="17">
        <v>13</v>
      </c>
      <c r="B14" s="18" t="s">
        <v>157</v>
      </c>
      <c r="C14" s="19"/>
      <c r="D14" s="19" t="s">
        <v>175</v>
      </c>
      <c r="E14" s="18">
        <v>1</v>
      </c>
      <c r="F14" s="29">
        <v>117</v>
      </c>
      <c r="G14" s="20">
        <f>Table1[[#This Row],[Unit Cost (THB)]]/32.43</f>
        <v>3.6077705827937097</v>
      </c>
      <c r="H14" s="21">
        <f>E14*G14</f>
        <v>3.6077705827937097</v>
      </c>
    </row>
    <row r="15" spans="1:8" x14ac:dyDescent="0.3">
      <c r="A15" s="17">
        <v>14</v>
      </c>
      <c r="B15" s="18" t="s">
        <v>158</v>
      </c>
      <c r="C15" s="19" t="s">
        <v>18</v>
      </c>
      <c r="D15" s="19" t="s">
        <v>176</v>
      </c>
      <c r="E15" s="18">
        <v>1</v>
      </c>
      <c r="F15" s="29">
        <v>26</v>
      </c>
      <c r="G15" s="20">
        <f>Table1[[#This Row],[Unit Cost (THB)]]/32.43</f>
        <v>0.80172679617637987</v>
      </c>
      <c r="H15" s="21">
        <f>E15*G15</f>
        <v>0.80172679617637987</v>
      </c>
    </row>
    <row r="16" spans="1:8" x14ac:dyDescent="0.3">
      <c r="A16" s="17">
        <v>15</v>
      </c>
      <c r="B16" s="18" t="s">
        <v>159</v>
      </c>
      <c r="C16" s="19"/>
      <c r="D16" s="19" t="s">
        <v>177</v>
      </c>
      <c r="E16" s="18">
        <v>3</v>
      </c>
      <c r="F16" s="29">
        <v>10</v>
      </c>
      <c r="G16" s="20">
        <f>Table1[[#This Row],[Unit Cost (THB)]]/32.43</f>
        <v>0.3083564600678384</v>
      </c>
      <c r="H16" s="21">
        <f>E16*G16</f>
        <v>0.92506938020351526</v>
      </c>
    </row>
    <row r="17" spans="1:8" x14ac:dyDescent="0.3">
      <c r="A17" s="17">
        <v>16</v>
      </c>
      <c r="B17" s="18" t="s">
        <v>160</v>
      </c>
      <c r="C17" s="19"/>
      <c r="D17" s="19" t="s">
        <v>178</v>
      </c>
      <c r="E17" s="18">
        <v>1</v>
      </c>
      <c r="F17" s="29">
        <v>220</v>
      </c>
      <c r="G17" s="20">
        <f>Table1[[#This Row],[Unit Cost (THB)]]/32.43</f>
        <v>6.7838421214924454</v>
      </c>
      <c r="H17" s="21">
        <f>E17*G17</f>
        <v>6.7838421214924454</v>
      </c>
    </row>
    <row r="18" spans="1:8" x14ac:dyDescent="0.3">
      <c r="A18" s="17">
        <v>17</v>
      </c>
      <c r="B18" s="18" t="s">
        <v>25</v>
      </c>
      <c r="C18" s="19"/>
      <c r="D18" s="28" t="s">
        <v>165</v>
      </c>
      <c r="E18" s="18">
        <v>1</v>
      </c>
      <c r="F18" s="29">
        <v>1000</v>
      </c>
      <c r="G18" s="20">
        <f>Table1[[#This Row],[Unit Cost (THB)]]/32.43</f>
        <v>30.835646006783843</v>
      </c>
      <c r="H18" s="21">
        <f>E18*G18</f>
        <v>30.835646006783843</v>
      </c>
    </row>
    <row r="19" spans="1:8" x14ac:dyDescent="0.3">
      <c r="A19" s="22"/>
      <c r="B19" s="23"/>
      <c r="C19" s="24"/>
      <c r="D19" s="24"/>
      <c r="E19" s="23"/>
      <c r="F19" s="23"/>
      <c r="G19" s="25" t="s">
        <v>161</v>
      </c>
      <c r="H19" s="26">
        <f>SUM(H2:H18)</f>
        <v>169.01017576318227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9AF2-2DB8-468E-9FBE-C004772EEB99}">
  <dimension ref="A1:C12"/>
  <sheetViews>
    <sheetView workbookViewId="0">
      <selection activeCell="C26" sqref="C26"/>
    </sheetView>
  </sheetViews>
  <sheetFormatPr defaultColWidth="8.81640625" defaultRowHeight="14" x14ac:dyDescent="0.3"/>
  <cols>
    <col min="1" max="1" width="19.81640625" style="1" bestFit="1" customWidth="1"/>
    <col min="2" max="2" width="20" style="1" bestFit="1" customWidth="1"/>
    <col min="3" max="3" width="57.90625" style="1" bestFit="1" customWidth="1"/>
    <col min="4" max="16384" width="8.81640625" style="1"/>
  </cols>
  <sheetData>
    <row r="1" spans="1:3" x14ac:dyDescent="0.3">
      <c r="A1" s="5" t="s">
        <v>0</v>
      </c>
      <c r="B1" s="6" t="s">
        <v>83</v>
      </c>
      <c r="C1" s="7" t="s">
        <v>84</v>
      </c>
    </row>
    <row r="2" spans="1:3" x14ac:dyDescent="0.3">
      <c r="A2" s="2" t="s">
        <v>1</v>
      </c>
      <c r="B2" s="8" t="s">
        <v>2</v>
      </c>
      <c r="C2" s="3" t="s">
        <v>85</v>
      </c>
    </row>
    <row r="3" spans="1:3" x14ac:dyDescent="0.3">
      <c r="A3" s="2" t="s">
        <v>3</v>
      </c>
      <c r="B3" s="8" t="s">
        <v>4</v>
      </c>
      <c r="C3" s="3" t="s">
        <v>86</v>
      </c>
    </row>
    <row r="4" spans="1:3" x14ac:dyDescent="0.3">
      <c r="A4" s="2" t="s">
        <v>5</v>
      </c>
      <c r="B4" s="8" t="s">
        <v>6</v>
      </c>
      <c r="C4" s="3" t="s">
        <v>87</v>
      </c>
    </row>
    <row r="5" spans="1:3" x14ac:dyDescent="0.3">
      <c r="A5" s="2" t="s">
        <v>7</v>
      </c>
      <c r="B5" s="8" t="s">
        <v>19</v>
      </c>
      <c r="C5" s="3" t="s">
        <v>88</v>
      </c>
    </row>
    <row r="6" spans="1:3" x14ac:dyDescent="0.3">
      <c r="A6" s="2" t="s">
        <v>20</v>
      </c>
      <c r="B6" s="8" t="s">
        <v>19</v>
      </c>
      <c r="C6" s="3" t="s">
        <v>89</v>
      </c>
    </row>
    <row r="7" spans="1:3" x14ac:dyDescent="0.3">
      <c r="A7" s="2" t="s">
        <v>21</v>
      </c>
      <c r="B7" s="8" t="s">
        <v>19</v>
      </c>
      <c r="C7" s="3" t="s">
        <v>90</v>
      </c>
    </row>
    <row r="8" spans="1:3" x14ac:dyDescent="0.3">
      <c r="A8" s="4" t="s">
        <v>8</v>
      </c>
      <c r="B8" s="8" t="s">
        <v>9</v>
      </c>
      <c r="C8" s="9" t="s">
        <v>91</v>
      </c>
    </row>
    <row r="9" spans="1:3" x14ac:dyDescent="0.3">
      <c r="A9" s="2" t="s">
        <v>10</v>
      </c>
      <c r="B9" s="8" t="s">
        <v>9</v>
      </c>
      <c r="C9" s="3" t="s">
        <v>92</v>
      </c>
    </row>
    <row r="10" spans="1:3" x14ac:dyDescent="0.3">
      <c r="A10" s="2" t="s">
        <v>22</v>
      </c>
      <c r="B10" s="8" t="s">
        <v>9</v>
      </c>
      <c r="C10" s="3" t="s">
        <v>93</v>
      </c>
    </row>
    <row r="11" spans="1:3" x14ac:dyDescent="0.3">
      <c r="A11" s="2" t="s">
        <v>11</v>
      </c>
      <c r="B11" s="8" t="s">
        <v>12</v>
      </c>
      <c r="C11" s="3" t="s">
        <v>94</v>
      </c>
    </row>
    <row r="12" spans="1:3" x14ac:dyDescent="0.3">
      <c r="A12" s="2" t="s">
        <v>23</v>
      </c>
      <c r="B12" s="8" t="s">
        <v>19</v>
      </c>
      <c r="C12" s="3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wiring</vt:lpstr>
      <vt:lpstr>components</vt:lpstr>
      <vt:lpstr>libraries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Teeranan Nongnual</cp:lastModifiedBy>
  <cp:lastPrinted>2025-12-16T05:45:02Z</cp:lastPrinted>
  <dcterms:modified xsi:type="dcterms:W3CDTF">2026-05-12T07:57:21Z</dcterms:modified>
</cp:coreProperties>
</file>